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08" windowWidth="14856" windowHeight="7236" activeTab="1"/>
  </bookViews>
  <sheets>
    <sheet name="Calculation Sheet" sheetId="1" r:id="rId1"/>
    <sheet name="Thermal Shutdown Limit Plot" sheetId="14" r:id="rId2"/>
    <sheet name="Res EIA Tables" sheetId="11" r:id="rId3"/>
    <sheet name="Cap Tables" sheetId="13" r:id="rId4"/>
  </sheets>
  <definedNames>
    <definedName name="Cdvdt">'Calculation Sheet'!$D$44</definedName>
    <definedName name="Cdvdt_cal1">'Calculation Sheet'!$D$41</definedName>
    <definedName name="Cdvdt_cal2">'Calculation Sheet'!$D$42</definedName>
    <definedName name="Cout">'Calculation Sheet'!$D$8</definedName>
    <definedName name="Gain_dvdt">'Calculation Sheet'!$D$73</definedName>
    <definedName name="Gain_IMON">'Calculation Sheet'!#REF!</definedName>
    <definedName name="I_dvdt">'Calculation Sheet'!$D$72</definedName>
    <definedName name="Icharge">'Calculation Sheet'!$D$46</definedName>
    <definedName name="Icharge_req">'Calculation Sheet'!$D$40</definedName>
    <definedName name="Ilimit">'Calculation Sheet'!$D$12</definedName>
    <definedName name="Ilimit_final">'Calculation Sheet'!$D$31</definedName>
    <definedName name="Imax">'Calculation Sheet'!$D$11</definedName>
    <definedName name="OVPref">'Calculation Sheet'!$D$71</definedName>
    <definedName name="OVset">'Calculation Sheet'!$D$7</definedName>
    <definedName name="Rdson_125deg">'Calculation Sheet'!$D$66</definedName>
    <definedName name="Rdson_25deg">'Calculation Sheet'!$D$64</definedName>
    <definedName name="Rdson_85deg">'Calculation Sheet'!$D$65</definedName>
    <definedName name="Rilim">'Calculation Sheet'!$D$30</definedName>
    <definedName name="RIMON_sel">'Calculation Sheet'!#REF!</definedName>
    <definedName name="RIN">'Calculation Sheet'!$D$21</definedName>
    <definedName name="Rlimit">'Calculation Sheet'!$D$30</definedName>
    <definedName name="RLstart">'Calculation Sheet'!$D$10</definedName>
    <definedName name="ROVP">'Calculation Sheet'!$D$19</definedName>
    <definedName name="RUVLO">'Calculation Sheet'!$D$20</definedName>
    <definedName name="Ta">'Calculation Sheet'!$D$9</definedName>
    <definedName name="Tdvdt">'Calculation Sheet'!$D$45</definedName>
    <definedName name="Tdvdt_default">'Calculation Sheet'!$D$74</definedName>
    <definedName name="Tstart_req">'Calculation Sheet'!$D$39</definedName>
    <definedName name="UVLOhys">'Calculation Sheet'!$D$70</definedName>
    <definedName name="UVLOref">'Calculation Sheet'!$D$69</definedName>
    <definedName name="UVset">'Calculation Sheet'!$D$6</definedName>
    <definedName name="Vinmax">'Calculation Sheet'!$D$5</definedName>
  </definedNames>
  <calcPr calcId="145621"/>
</workbook>
</file>

<file path=xl/calcChain.xml><?xml version="1.0" encoding="utf-8"?>
<calcChain xmlns="http://schemas.openxmlformats.org/spreadsheetml/2006/main">
  <c r="D12" i="1" l="1"/>
  <c r="D36" i="1" l="1"/>
  <c r="D37" i="1" l="1"/>
  <c r="D38" i="1"/>
  <c r="F30" i="1" l="1"/>
  <c r="D39" i="1"/>
  <c r="D41" i="1" s="1"/>
  <c r="C23" i="1" l="1"/>
  <c r="D40" i="1" l="1"/>
  <c r="D42" i="1" s="1"/>
  <c r="D28" i="1"/>
  <c r="D16" i="1" l="1"/>
  <c r="D50" i="1" l="1"/>
  <c r="M31" i="1" l="1"/>
  <c r="F21" i="1"/>
  <c r="F20" i="1"/>
  <c r="F31" i="1" l="1"/>
  <c r="M42" i="1" l="1"/>
  <c r="M16" i="1"/>
  <c r="M20" i="1" s="1"/>
  <c r="M15" i="1"/>
  <c r="M19" i="1" s="1"/>
  <c r="D17" i="1" l="1"/>
  <c r="M17" i="1" s="1"/>
  <c r="M21" i="1" s="1"/>
  <c r="G19" i="1" l="1"/>
  <c r="D19" i="1" s="1"/>
  <c r="C22" i="1" l="1"/>
  <c r="F19" i="1"/>
  <c r="F22" i="1" l="1"/>
  <c r="F24" i="1" s="1"/>
  <c r="F23" i="1"/>
  <c r="M28" i="1"/>
  <c r="M30" i="1" l="1"/>
  <c r="G30" i="1" s="1"/>
  <c r="D30" i="1" s="1"/>
  <c r="D31" i="1" s="1"/>
  <c r="G20" i="1"/>
  <c r="D20" i="1" s="1"/>
  <c r="G21" i="1" l="1"/>
  <c r="D21" i="1" s="1"/>
  <c r="M41" i="1" l="1"/>
  <c r="F41" i="1" s="1"/>
  <c r="D23" i="1"/>
  <c r="J18" i="1" s="1"/>
  <c r="F44" i="1" l="1"/>
  <c r="F45" i="1" s="1"/>
  <c r="D22" i="1"/>
  <c r="J17" i="1" s="1"/>
  <c r="D24" i="1"/>
  <c r="J16" i="1" s="1"/>
  <c r="G44" i="1"/>
  <c r="D44" i="1" s="1"/>
  <c r="D25" i="1"/>
  <c r="D45" i="1" l="1"/>
  <c r="D52" i="1" s="1"/>
  <c r="D59" i="1"/>
  <c r="D60" i="1"/>
  <c r="D46" i="1" l="1"/>
  <c r="D49" i="1" s="1"/>
  <c r="D51" i="1" s="1"/>
  <c r="D53" i="1" l="1"/>
  <c r="D54" i="1"/>
</calcChain>
</file>

<file path=xl/sharedStrings.xml><?xml version="1.0" encoding="utf-8"?>
<sst xmlns="http://schemas.openxmlformats.org/spreadsheetml/2006/main" count="201" uniqueCount="152">
  <si>
    <t>Parameter</t>
  </si>
  <si>
    <t>Description</t>
  </si>
  <si>
    <t xml:space="preserve">Value </t>
  </si>
  <si>
    <t xml:space="preserve"> Units</t>
  </si>
  <si>
    <t>A</t>
  </si>
  <si>
    <t>ms</t>
  </si>
  <si>
    <t>V</t>
  </si>
  <si>
    <t>uA</t>
  </si>
  <si>
    <t>Cout</t>
  </si>
  <si>
    <t>Load Capacitance</t>
  </si>
  <si>
    <t>Imax</t>
  </si>
  <si>
    <t>Rds(on)</t>
  </si>
  <si>
    <t>Rds(on)_85degC</t>
  </si>
  <si>
    <t>W</t>
  </si>
  <si>
    <t>Pd_dvdt</t>
  </si>
  <si>
    <t>Internal FET Parameters</t>
  </si>
  <si>
    <t>Vdrop</t>
  </si>
  <si>
    <t>mV</t>
  </si>
  <si>
    <t>Pdiss_ss</t>
  </si>
  <si>
    <t>mW</t>
  </si>
  <si>
    <t>Constants Cells</t>
  </si>
  <si>
    <t>Calculation Cells</t>
  </si>
  <si>
    <t>Steady state Voltage drop &amp; Power dissipation</t>
  </si>
  <si>
    <t>Total Power dissipation at Start-up</t>
  </si>
  <si>
    <t>Pd_Rlstart</t>
  </si>
  <si>
    <t>Pd_startup</t>
  </si>
  <si>
    <t>Internal References</t>
  </si>
  <si>
    <t>Calculated value of Resistor at UVLO pin</t>
  </si>
  <si>
    <t>Icharge_req</t>
  </si>
  <si>
    <t>I_R123</t>
  </si>
  <si>
    <t>Tolerance</t>
  </si>
  <si>
    <t>Standard EIA Decade Resistor Values</t>
  </si>
  <si>
    <t>0.5%, 0.25%, 0.1%</t>
  </si>
  <si>
    <t>E6</t>
  </si>
  <si>
    <t>E12</t>
  </si>
  <si>
    <t>E24</t>
  </si>
  <si>
    <t>E48</t>
  </si>
  <si>
    <t>E96</t>
  </si>
  <si>
    <t>E192</t>
  </si>
  <si>
    <t>R2_cal</t>
  </si>
  <si>
    <t>Current in R1, R2, R3 Branch</t>
  </si>
  <si>
    <t>Cdvdt</t>
  </si>
  <si>
    <r>
      <t>R</t>
    </r>
    <r>
      <rPr>
        <sz val="7"/>
        <color theme="1"/>
        <rFont val="Calibri"/>
        <family val="2"/>
        <scheme val="minor"/>
      </rPr>
      <t>LIM</t>
    </r>
  </si>
  <si>
    <t>OVset</t>
  </si>
  <si>
    <r>
      <t>R</t>
    </r>
    <r>
      <rPr>
        <sz val="7"/>
        <color theme="1"/>
        <rFont val="Calibri"/>
        <family val="2"/>
        <scheme val="minor"/>
      </rPr>
      <t>LIM</t>
    </r>
    <r>
      <rPr>
        <sz val="11"/>
        <color theme="1"/>
        <rFont val="Calibri"/>
        <family val="2"/>
        <scheme val="minor"/>
      </rPr>
      <t>_cal</t>
    </r>
  </si>
  <si>
    <t>Thermal Shutdown Time Vs. Power Dissipation</t>
  </si>
  <si>
    <t>Title of Graph</t>
  </si>
  <si>
    <t>Lable</t>
  </si>
  <si>
    <t xml:space="preserve">X-Axis </t>
  </si>
  <si>
    <t xml:space="preserve"> Power Dissipation (W)</t>
  </si>
  <si>
    <t>Y-Axis</t>
  </si>
  <si>
    <t>Thermal Shutdown time (ms)</t>
  </si>
  <si>
    <t>Power Fail 
(VIN Falling)</t>
  </si>
  <si>
    <t>UVLO 
(VIN Rising)</t>
  </si>
  <si>
    <t>Maximum System Input Voltage</t>
  </si>
  <si>
    <r>
      <rPr>
        <sz val="11"/>
        <color theme="1"/>
        <rFont val="Calibri"/>
        <family val="2"/>
      </rPr>
      <t>µ</t>
    </r>
    <r>
      <rPr>
        <sz val="11"/>
        <color theme="1"/>
        <rFont val="Calibri"/>
        <family val="2"/>
        <scheme val="minor"/>
      </rPr>
      <t>F</t>
    </r>
  </si>
  <si>
    <r>
      <t>T</t>
    </r>
    <r>
      <rPr>
        <vertAlign val="subscript"/>
        <sz val="11"/>
        <color theme="1"/>
        <rFont val="Calibri"/>
        <family val="2"/>
        <scheme val="minor"/>
      </rPr>
      <t xml:space="preserve">A </t>
    </r>
    <r>
      <rPr>
        <sz val="11"/>
        <color theme="1"/>
        <rFont val="Calibri"/>
        <family val="2"/>
        <scheme val="minor"/>
      </rPr>
      <t>(max)</t>
    </r>
  </si>
  <si>
    <r>
      <t>V</t>
    </r>
    <r>
      <rPr>
        <vertAlign val="subscript"/>
        <sz val="11"/>
        <color theme="1"/>
        <rFont val="Calibri"/>
        <family val="2"/>
        <scheme val="minor"/>
      </rPr>
      <t xml:space="preserve">IN </t>
    </r>
    <r>
      <rPr>
        <sz val="11"/>
        <color theme="1"/>
        <rFont val="Calibri"/>
        <family val="2"/>
        <scheme val="minor"/>
      </rPr>
      <t>(max)</t>
    </r>
  </si>
  <si>
    <r>
      <rPr>
        <sz val="11"/>
        <color theme="1"/>
        <rFont val="Calibri"/>
        <family val="2"/>
      </rPr>
      <t>°</t>
    </r>
    <r>
      <rPr>
        <sz val="11"/>
        <color theme="1"/>
        <rFont val="Calibri"/>
        <family val="2"/>
        <scheme val="minor"/>
      </rPr>
      <t>C</t>
    </r>
  </si>
  <si>
    <t>RLstart</t>
  </si>
  <si>
    <t>ILimit</t>
  </si>
  <si>
    <t>Maximum continuous load current</t>
  </si>
  <si>
    <t>Ω</t>
  </si>
  <si>
    <t>R3_sel</t>
  </si>
  <si>
    <t>kΩ</t>
  </si>
  <si>
    <t>R1_cal</t>
  </si>
  <si>
    <t>Over Voltage Cut-Off Threshold</t>
  </si>
  <si>
    <t>Undervoltage Lockout Threshold</t>
  </si>
  <si>
    <t>UVLO Threshold Voltage, Rising</t>
  </si>
  <si>
    <t>Calculated value of Resistor at IN pin</t>
  </si>
  <si>
    <t>R2_sel</t>
  </si>
  <si>
    <t>R1_sel</t>
  </si>
  <si>
    <t>UV_Final</t>
  </si>
  <si>
    <t>OV_Final</t>
  </si>
  <si>
    <t>Power Fail Detection</t>
  </si>
  <si>
    <t>V(UVLOR)</t>
  </si>
  <si>
    <t>V(OVPR)</t>
  </si>
  <si>
    <t>V(UVLOHys)</t>
  </si>
  <si>
    <t>Current Limit Calculations</t>
  </si>
  <si>
    <t>ILimit_Final</t>
  </si>
  <si>
    <t>Power Fail Detection Threshold</t>
  </si>
  <si>
    <t>dVdT Charging Current</t>
  </si>
  <si>
    <t>I(dVdT)</t>
  </si>
  <si>
    <t>GAIN(dVdT)</t>
  </si>
  <si>
    <t>dVdT to OUT Gain</t>
  </si>
  <si>
    <t>UVLO Hysteresis</t>
  </si>
  <si>
    <t>Rds(on)_125degC</t>
  </si>
  <si>
    <t>Over-Voltage Threshold Voltage, Rising</t>
  </si>
  <si>
    <t>UVLO, OVP Calculations</t>
  </si>
  <si>
    <t>dV/dT Capacitor and Start-up Time Calculations</t>
  </si>
  <si>
    <t>Tstart_default</t>
  </si>
  <si>
    <t>Tstart_recommended</t>
  </si>
  <si>
    <t>Tstart_req</t>
  </si>
  <si>
    <t>Required start-up time</t>
  </si>
  <si>
    <t>Charging current required to charge the load capacitor</t>
  </si>
  <si>
    <t>Calculated dVdT capacitor value based on required start-up time</t>
  </si>
  <si>
    <t>Calculated dVdT capacitor value based on required charging current</t>
  </si>
  <si>
    <r>
      <rPr>
        <sz val="11"/>
        <rFont val="Calibri"/>
        <family val="2"/>
      </rPr>
      <t>µ</t>
    </r>
    <r>
      <rPr>
        <sz val="11"/>
        <rFont val="Calibri"/>
        <family val="2"/>
        <scheme val="minor"/>
      </rPr>
      <t>F</t>
    </r>
  </si>
  <si>
    <r>
      <rPr>
        <b/>
        <sz val="8"/>
        <color rgb="FF333333"/>
        <rFont val="Calibri"/>
        <family val="2"/>
      </rPr>
      <t>µ</t>
    </r>
    <r>
      <rPr>
        <b/>
        <sz val="8"/>
        <color rgb="FF333333"/>
        <rFont val="Arial"/>
        <family val="2"/>
      </rPr>
      <t>F</t>
    </r>
  </si>
  <si>
    <t>Capacitors Lookup Table</t>
  </si>
  <si>
    <t>Default start-up time with no external capacitor connected at dVdT pin</t>
  </si>
  <si>
    <t>Output Voltage Start-up Time</t>
  </si>
  <si>
    <t>Tstart_Final</t>
  </si>
  <si>
    <t>Icharge_Final</t>
  </si>
  <si>
    <t>Charging Current to Charge Load Capacitance</t>
  </si>
  <si>
    <t>Steady state power dissipation with maximum current  at TA = 25°C</t>
  </si>
  <si>
    <t>TdVdT</t>
  </si>
  <si>
    <t>Default Start-up Time with dVdT = Open</t>
  </si>
  <si>
    <r>
      <t>m</t>
    </r>
    <r>
      <rPr>
        <sz val="11"/>
        <color theme="1"/>
        <rFont val="Calibri"/>
        <family val="2"/>
      </rPr>
      <t>Ω</t>
    </r>
  </si>
  <si>
    <t>Final Current Limit Set Point</t>
  </si>
  <si>
    <t>UVset</t>
  </si>
  <si>
    <t>Input / Select Cells</t>
  </si>
  <si>
    <r>
      <t xml:space="preserve">Calculated, but can be over-ridden by the user. 
</t>
    </r>
    <r>
      <rPr>
        <sz val="11"/>
        <rFont val="Calibri"/>
        <family val="2"/>
        <scheme val="minor"/>
      </rPr>
      <t>Note: Once cells are over-ridden, new calculation sheet should be used for the next design</t>
    </r>
  </si>
  <si>
    <t xml:space="preserve">Maximum Ambient Temperature </t>
  </si>
  <si>
    <t>Icharge_recommended</t>
  </si>
  <si>
    <t>Recommended charging current to charge the load capacitor</t>
  </si>
  <si>
    <t>Select a value in the range from 10k to 249k</t>
  </si>
  <si>
    <t>Selected closest possible value for RLIM resistor</t>
  </si>
  <si>
    <t>Selected closest possible value for CdV/dT capacitor</t>
  </si>
  <si>
    <t>Selected closest possible value for R3 resistor</t>
  </si>
  <si>
    <t>Selected closest possible value for R2 resistor</t>
  </si>
  <si>
    <t>Selected closest possible value for R1 resistor</t>
  </si>
  <si>
    <t>Margin</t>
  </si>
  <si>
    <t>%</t>
  </si>
  <si>
    <t>Total power dissipation during start-up</t>
  </si>
  <si>
    <t>TA = -40C</t>
  </si>
  <si>
    <t>TA = 25C</t>
  </si>
  <si>
    <t>TA = 85C</t>
  </si>
  <si>
    <t>TA = 105C</t>
  </si>
  <si>
    <t>TA = 125C</t>
  </si>
  <si>
    <t>Load during start-up (Assumed to be resistive)</t>
  </si>
  <si>
    <t>SELECT THE CLOSEST POSSIBLE RESISTANCE VALUE FOR R1, R2, R3</t>
  </si>
  <si>
    <t>SELECT THE CLOSEST POSSIBLE RESISTANCE VALUE FOR RLIM</t>
  </si>
  <si>
    <t>SELECT THE CLOSEST POSSIBLE CAPACITANCE VALUE FOR CdVdT</t>
  </si>
  <si>
    <t>Calculated current limit resistor value</t>
  </si>
  <si>
    <t>Power dissipation due to load capacitance during start-up</t>
  </si>
  <si>
    <t>Power dissipation due to load resistance during start-up</t>
  </si>
  <si>
    <t>Maximum power dissipation allowed during start-up for glitch-free operation</t>
  </si>
  <si>
    <t>Is my system start-up glitch-free?</t>
  </si>
  <si>
    <r>
      <t>Maximum voltage drop across the device at T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= 25</t>
    </r>
    <r>
      <rPr>
        <sz val="11"/>
        <color theme="1"/>
        <rFont val="Calibri"/>
        <family val="2"/>
      </rPr>
      <t>°</t>
    </r>
    <r>
      <rPr>
        <sz val="11"/>
        <color theme="1"/>
        <rFont val="Calibri"/>
        <family val="2"/>
        <scheme val="minor"/>
      </rPr>
      <t>C</t>
    </r>
  </si>
  <si>
    <t>FET maximum Rds(on) at 25°C</t>
  </si>
  <si>
    <t>FET maximum Rds(on) at 85°C</t>
  </si>
  <si>
    <t>FET maximum Rds(on) at 125°C</t>
  </si>
  <si>
    <t>Cdvdt_cal1</t>
  </si>
  <si>
    <t>Cdvdt_cal2</t>
  </si>
  <si>
    <t>Current Limit, 10% higher than the maximum continuous load current</t>
  </si>
  <si>
    <t>Thermal Shutdown Time (ms) Vs. Power Dissipation (W)</t>
  </si>
  <si>
    <t>Power Dissipation (W)</t>
  </si>
  <si>
    <t>OVP
(VIN Rising)</t>
  </si>
  <si>
    <t>Recommended start-up time based on 1 / 10th of load current as capacitive charging current</t>
  </si>
  <si>
    <t>TPS2662 Design Calculator Tool</t>
  </si>
  <si>
    <r>
      <t>Note: Taken on 2-layer board, 2oz.(0.08mm thick) with RTN plane area 0.8 cm</t>
    </r>
    <r>
      <rPr>
        <b/>
        <vertAlign val="superscript"/>
        <sz val="14"/>
        <color rgb="FFFF0000"/>
        <rFont val="Calibri"/>
        <family val="2"/>
        <scheme val="minor"/>
      </rPr>
      <t>2</t>
    </r>
    <r>
      <rPr>
        <b/>
        <sz val="14"/>
        <color rgb="FFFF0000"/>
        <rFont val="Calibri"/>
        <family val="2"/>
        <scheme val="minor"/>
      </rPr>
      <t xml:space="preserve"> (Top) and 4.5 cm</t>
    </r>
    <r>
      <rPr>
        <b/>
        <vertAlign val="superscript"/>
        <sz val="14"/>
        <color rgb="FFFF0000"/>
        <rFont val="Calibri"/>
        <family val="2"/>
        <scheme val="minor"/>
      </rPr>
      <t>2</t>
    </r>
    <r>
      <rPr>
        <b/>
        <sz val="14"/>
        <color rgb="FFFF0000"/>
        <rFont val="Calibri"/>
        <family val="2"/>
        <scheme val="minor"/>
      </rPr>
      <t xml:space="preserve"> (Bottom)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</si>
</sst>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%"/>
    <numFmt numFmtId="166" formatCode="0.00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rgb="FF333333"/>
      <name val="Arial"/>
      <family val="2"/>
    </font>
    <font>
      <sz val="9"/>
      <color rgb="FF000000"/>
      <name val="Verdana"/>
      <family val="2"/>
    </font>
    <font>
      <sz val="16"/>
      <name val="Arial"/>
      <family val="2"/>
    </font>
    <font>
      <sz val="12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Arial"/>
      <family val="2"/>
    </font>
    <font>
      <b/>
      <sz val="12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6"/>
      <name val="Calibri"/>
      <family val="2"/>
      <scheme val="minor"/>
    </font>
    <font>
      <i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b/>
      <sz val="8"/>
      <color rgb="FF333333"/>
      <name val="Calibri"/>
      <family val="2"/>
    </font>
    <font>
      <b/>
      <sz val="24"/>
      <color rgb="FF333333"/>
      <name val="Calibri"/>
      <family val="2"/>
    </font>
    <font>
      <sz val="14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vertAlign val="superscript"/>
      <sz val="14"/>
      <color rgb="FFFF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AE7F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gradientFill type="path">
        <stop position="0">
          <color rgb="FF00FFFF"/>
        </stop>
        <stop position="1">
          <color rgb="FFFFFF00"/>
        </stop>
      </gradient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45">
    <xf numFmtId="0" fontId="0" fillId="0" borderId="0" xfId="0"/>
    <xf numFmtId="0" fontId="0" fillId="0" borderId="0" xfId="0" applyFont="1" applyAlignment="1">
      <alignment vertical="center"/>
    </xf>
    <xf numFmtId="2" fontId="0" fillId="0" borderId="0" xfId="0" applyNumberFormat="1"/>
    <xf numFmtId="2" fontId="0" fillId="0" borderId="0" xfId="0" applyNumberFormat="1" applyFont="1" applyAlignment="1">
      <alignment vertical="center"/>
    </xf>
    <xf numFmtId="0" fontId="0" fillId="0" borderId="0" xfId="0" applyFont="1" applyAlignment="1">
      <alignment horizontal="center" vertic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7" fillId="10" borderId="6" xfId="0" applyFont="1" applyFill="1" applyBorder="1" applyAlignment="1">
      <alignment horizontal="center" vertical="center" wrapText="1"/>
    </xf>
    <xf numFmtId="164" fontId="8" fillId="0" borderId="6" xfId="0" applyNumberFormat="1" applyFont="1" applyBorder="1" applyAlignment="1">
      <alignment vertical="center" wrapText="1"/>
    </xf>
    <xf numFmtId="165" fontId="10" fillId="15" borderId="1" xfId="1" applyNumberFormat="1" applyFont="1" applyFill="1" applyBorder="1" applyAlignment="1" applyProtection="1">
      <alignment horizontal="center" vertical="center"/>
    </xf>
    <xf numFmtId="0" fontId="9" fillId="0" borderId="0" xfId="0" applyFont="1" applyFill="1" applyAlignment="1" applyProtection="1">
      <alignment horizontal="left" vertical="center"/>
    </xf>
    <xf numFmtId="0" fontId="0" fillId="0" borderId="0" xfId="0" applyFont="1" applyAlignment="1" applyProtection="1">
      <alignment horizontal="center" vertical="center"/>
    </xf>
    <xf numFmtId="165" fontId="4" fillId="15" borderId="1" xfId="1" applyNumberFormat="1" applyFont="1" applyFill="1" applyBorder="1" applyAlignment="1" applyProtection="1">
      <alignment horizontal="center" vertical="center"/>
    </xf>
    <xf numFmtId="165" fontId="12" fillId="15" borderId="1" xfId="1" applyNumberFormat="1" applyFont="1" applyFill="1" applyBorder="1" applyAlignment="1" applyProtection="1">
      <alignment horizontal="center" vertical="center"/>
    </xf>
    <xf numFmtId="0" fontId="0" fillId="0" borderId="0" xfId="0" applyFont="1" applyAlignment="1" applyProtection="1">
      <alignment horizontal="left" vertical="center"/>
    </xf>
    <xf numFmtId="0" fontId="0" fillId="0" borderId="0" xfId="0" applyFont="1" applyFill="1" applyAlignment="1" applyProtection="1">
      <alignment horizontal="center" vertical="center"/>
    </xf>
    <xf numFmtId="165" fontId="15" fillId="5" borderId="1" xfId="1" applyNumberFormat="1" applyFont="1" applyFill="1" applyBorder="1" applyAlignment="1" applyProtection="1">
      <alignment horizontal="center" vertical="center"/>
    </xf>
    <xf numFmtId="0" fontId="14" fillId="0" borderId="0" xfId="0" applyFont="1" applyAlignment="1">
      <alignment vertical="center"/>
    </xf>
    <xf numFmtId="2" fontId="14" fillId="0" borderId="0" xfId="0" applyNumberFormat="1" applyFont="1" applyAlignment="1">
      <alignment vertical="center"/>
    </xf>
    <xf numFmtId="165" fontId="14" fillId="5" borderId="1" xfId="1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2" fontId="2" fillId="0" borderId="0" xfId="0" applyNumberFormat="1" applyFont="1" applyAlignment="1">
      <alignment vertical="center"/>
    </xf>
    <xf numFmtId="165" fontId="4" fillId="15" borderId="7" xfId="1" applyNumberFormat="1" applyFont="1" applyFill="1" applyBorder="1" applyAlignment="1" applyProtection="1">
      <alignment horizontal="center" vertical="center"/>
    </xf>
    <xf numFmtId="0" fontId="16" fillId="0" borderId="5" xfId="0" applyFont="1" applyBorder="1" applyAlignment="1" applyProtection="1">
      <alignment horizontal="left" indent="1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0" fillId="0" borderId="0" xfId="0" applyAlignment="1"/>
    <xf numFmtId="0" fontId="0" fillId="19" borderId="0" xfId="0" applyFill="1" applyAlignment="1"/>
    <xf numFmtId="0" fontId="0" fillId="0" borderId="5" xfId="0" applyBorder="1" applyAlignment="1"/>
    <xf numFmtId="0" fontId="16" fillId="0" borderId="8" xfId="0" applyFont="1" applyBorder="1" applyAlignment="1" applyProtection="1">
      <alignment horizontal="center" vertical="center"/>
      <protection locked="0"/>
    </xf>
    <xf numFmtId="0" fontId="16" fillId="0" borderId="9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center"/>
    </xf>
    <xf numFmtId="0" fontId="0" fillId="20" borderId="0" xfId="0" applyFill="1" applyAlignment="1"/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left"/>
    </xf>
    <xf numFmtId="2" fontId="18" fillId="0" borderId="0" xfId="0" applyNumberFormat="1" applyFont="1" applyAlignment="1">
      <alignment vertical="center" wrapText="1"/>
    </xf>
    <xf numFmtId="0" fontId="0" fillId="0" borderId="0" xfId="0" applyFont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11" fillId="18" borderId="1" xfId="0" applyFont="1" applyFill="1" applyBorder="1" applyAlignment="1" applyProtection="1">
      <alignment horizontal="center" vertical="center" wrapText="1"/>
    </xf>
    <xf numFmtId="0" fontId="5" fillId="6" borderId="1" xfId="0" applyFont="1" applyFill="1" applyBorder="1" applyAlignment="1" applyProtection="1">
      <alignment horizontal="center" vertical="center"/>
    </xf>
    <xf numFmtId="0" fontId="5" fillId="6" borderId="1" xfId="0" applyFont="1" applyFill="1" applyBorder="1" applyAlignment="1" applyProtection="1">
      <alignment horizontal="left" vertical="center"/>
    </xf>
    <xf numFmtId="0" fontId="12" fillId="3" borderId="1" xfId="0" applyFont="1" applyFill="1" applyBorder="1" applyAlignment="1" applyProtection="1">
      <alignment horizontal="center" vertical="center"/>
    </xf>
    <xf numFmtId="2" fontId="12" fillId="3" borderId="1" xfId="0" applyNumberFormat="1" applyFont="1" applyFill="1" applyBorder="1" applyAlignment="1" applyProtection="1">
      <alignment horizontal="center" vertical="center"/>
    </xf>
    <xf numFmtId="0" fontId="12" fillId="3" borderId="1" xfId="0" applyFont="1" applyFill="1" applyBorder="1" applyAlignment="1" applyProtection="1">
      <alignment horizontal="left" vertical="center"/>
    </xf>
    <xf numFmtId="0" fontId="0" fillId="0" borderId="0" xfId="0" applyFont="1" applyAlignment="1">
      <alignment horizontal="right" vertical="center"/>
    </xf>
    <xf numFmtId="2" fontId="0" fillId="0" borderId="0" xfId="0" applyNumberFormat="1" applyFont="1" applyAlignment="1">
      <alignment horizontal="left" vertical="center"/>
    </xf>
    <xf numFmtId="0" fontId="16" fillId="0" borderId="0" xfId="0" applyFont="1" applyBorder="1" applyAlignment="1" applyProtection="1">
      <alignment horizontal="center"/>
      <protection locked="0"/>
    </xf>
    <xf numFmtId="2" fontId="0" fillId="0" borderId="0" xfId="0" applyNumberFormat="1" applyFont="1" applyAlignment="1" applyProtection="1">
      <alignment horizontal="center" vertical="center"/>
    </xf>
    <xf numFmtId="2" fontId="3" fillId="9" borderId="1" xfId="0" applyNumberFormat="1" applyFont="1" applyFill="1" applyBorder="1" applyAlignment="1" applyProtection="1">
      <alignment horizontal="center" vertical="center"/>
    </xf>
    <xf numFmtId="2" fontId="10" fillId="17" borderId="1" xfId="0" applyNumberFormat="1" applyFont="1" applyFill="1" applyBorder="1" applyAlignment="1" applyProtection="1">
      <alignment horizontal="center" vertical="center"/>
    </xf>
    <xf numFmtId="0" fontId="0" fillId="15" borderId="1" xfId="0" applyFont="1" applyFill="1" applyBorder="1" applyAlignment="1" applyProtection="1">
      <alignment horizontal="center" vertical="center"/>
    </xf>
    <xf numFmtId="164" fontId="10" fillId="17" borderId="1" xfId="0" applyNumberFormat="1" applyFont="1" applyFill="1" applyBorder="1" applyAlignment="1" applyProtection="1">
      <alignment horizontal="center" vertical="center"/>
    </xf>
    <xf numFmtId="1" fontId="10" fillId="17" borderId="1" xfId="0" applyNumberFormat="1" applyFont="1" applyFill="1" applyBorder="1" applyAlignment="1" applyProtection="1">
      <alignment horizontal="center" vertical="center"/>
    </xf>
    <xf numFmtId="0" fontId="22" fillId="15" borderId="1" xfId="0" applyFont="1" applyFill="1" applyBorder="1" applyAlignment="1" applyProtection="1">
      <alignment horizontal="center" vertical="center"/>
    </xf>
    <xf numFmtId="2" fontId="11" fillId="18" borderId="1" xfId="0" applyNumberFormat="1" applyFont="1" applyFill="1" applyBorder="1" applyAlignment="1" applyProtection="1">
      <alignment horizontal="center" vertical="center" wrapText="1"/>
    </xf>
    <xf numFmtId="164" fontId="10" fillId="5" borderId="1" xfId="0" applyNumberFormat="1" applyFont="1" applyFill="1" applyBorder="1" applyAlignment="1" applyProtection="1">
      <alignment horizontal="center" vertical="center"/>
    </xf>
    <xf numFmtId="0" fontId="12" fillId="15" borderId="1" xfId="0" applyFont="1" applyFill="1" applyBorder="1" applyAlignment="1" applyProtection="1">
      <alignment horizontal="center" vertical="center"/>
    </xf>
    <xf numFmtId="2" fontId="10" fillId="2" borderId="1" xfId="0" applyNumberFormat="1" applyFont="1" applyFill="1" applyBorder="1" applyAlignment="1" applyProtection="1">
      <alignment horizontal="center" vertical="center"/>
    </xf>
    <xf numFmtId="2" fontId="10" fillId="15" borderId="1" xfId="0" applyNumberFormat="1" applyFont="1" applyFill="1" applyBorder="1" applyAlignment="1" applyProtection="1">
      <alignment horizontal="center" vertical="center"/>
    </xf>
    <xf numFmtId="2" fontId="15" fillId="5" borderId="1" xfId="0" applyNumberFormat="1" applyFont="1" applyFill="1" applyBorder="1" applyAlignment="1" applyProtection="1">
      <alignment horizontal="center" vertical="center"/>
    </xf>
    <xf numFmtId="0" fontId="15" fillId="15" borderId="1" xfId="0" applyFont="1" applyFill="1" applyBorder="1" applyAlignment="1" applyProtection="1">
      <alignment horizontal="center" vertical="center"/>
    </xf>
    <xf numFmtId="2" fontId="10" fillId="5" borderId="1" xfId="0" applyNumberFormat="1" applyFont="1" applyFill="1" applyBorder="1" applyAlignment="1" applyProtection="1">
      <alignment horizontal="center" vertical="center"/>
    </xf>
    <xf numFmtId="2" fontId="2" fillId="2" borderId="1" xfId="0" applyNumberFormat="1" applyFont="1" applyFill="1" applyBorder="1" applyAlignment="1" applyProtection="1">
      <alignment horizontal="center" vertical="center"/>
    </xf>
    <xf numFmtId="0" fontId="14" fillId="15" borderId="1" xfId="0" applyFont="1" applyFill="1" applyBorder="1" applyAlignment="1" applyProtection="1">
      <alignment horizontal="center" vertical="center"/>
    </xf>
    <xf numFmtId="2" fontId="5" fillId="6" borderId="1" xfId="0" applyNumberFormat="1" applyFont="1" applyFill="1" applyBorder="1" applyAlignment="1" applyProtection="1">
      <alignment horizontal="center" vertical="center"/>
    </xf>
    <xf numFmtId="2" fontId="10" fillId="8" borderId="1" xfId="0" applyNumberFormat="1" applyFont="1" applyFill="1" applyBorder="1" applyAlignment="1" applyProtection="1">
      <alignment horizontal="center" vertical="center"/>
    </xf>
    <xf numFmtId="2" fontId="17" fillId="5" borderId="1" xfId="0" applyNumberFormat="1" applyFont="1" applyFill="1" applyBorder="1" applyAlignment="1" applyProtection="1">
      <alignment horizontal="center" vertical="center"/>
    </xf>
    <xf numFmtId="1" fontId="10" fillId="8" borderId="1" xfId="0" applyNumberFormat="1" applyFont="1" applyFill="1" applyBorder="1" applyAlignment="1" applyProtection="1">
      <alignment horizontal="center" vertical="center"/>
    </xf>
    <xf numFmtId="2" fontId="0" fillId="0" borderId="0" xfId="0" applyNumberFormat="1" applyFont="1" applyAlignment="1">
      <alignment horizontal="center" vertical="center"/>
    </xf>
    <xf numFmtId="0" fontId="0" fillId="0" borderId="0" xfId="0" applyFont="1" applyFill="1" applyAlignment="1" applyProtection="1">
      <alignment horizontal="left" vertical="center"/>
    </xf>
    <xf numFmtId="0" fontId="0" fillId="17" borderId="0" xfId="0" applyFont="1" applyFill="1" applyBorder="1" applyAlignment="1" applyProtection="1">
      <alignment horizontal="left" vertical="center"/>
    </xf>
    <xf numFmtId="0" fontId="0" fillId="17" borderId="1" xfId="0" applyFont="1" applyFill="1" applyBorder="1" applyAlignment="1" applyProtection="1">
      <alignment horizontal="left" vertical="center"/>
    </xf>
    <xf numFmtId="0" fontId="19" fillId="18" borderId="1" xfId="0" applyFont="1" applyFill="1" applyBorder="1" applyAlignment="1" applyProtection="1">
      <alignment horizontal="left" vertical="center"/>
    </xf>
    <xf numFmtId="0" fontId="11" fillId="18" borderId="1" xfId="0" applyFont="1" applyFill="1" applyBorder="1" applyAlignment="1" applyProtection="1">
      <alignment horizontal="left" vertical="center" wrapText="1"/>
    </xf>
    <xf numFmtId="0" fontId="0" fillId="7" borderId="1" xfId="0" applyFont="1" applyFill="1" applyBorder="1" applyAlignment="1" applyProtection="1">
      <alignment horizontal="left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16" borderId="1" xfId="0" applyFont="1" applyFill="1" applyBorder="1" applyAlignment="1" applyProtection="1">
      <alignment horizontal="left" vertical="center"/>
    </xf>
    <xf numFmtId="0" fontId="14" fillId="4" borderId="1" xfId="0" applyFont="1" applyFill="1" applyBorder="1" applyAlignment="1" applyProtection="1">
      <alignment horizontal="left" vertical="center"/>
    </xf>
    <xf numFmtId="0" fontId="0" fillId="4" borderId="1" xfId="0" applyFont="1" applyFill="1" applyBorder="1" applyAlignment="1" applyProtection="1">
      <alignment horizontal="left" vertical="center"/>
    </xf>
    <xf numFmtId="0" fontId="14" fillId="7" borderId="1" xfId="0" applyFont="1" applyFill="1" applyBorder="1" applyAlignment="1" applyProtection="1">
      <alignment horizontal="left" vertical="center"/>
    </xf>
    <xf numFmtId="0" fontId="1" fillId="7" borderId="1" xfId="0" applyFont="1" applyFill="1" applyBorder="1" applyAlignment="1" applyProtection="1">
      <alignment horizontal="left" vertical="center"/>
    </xf>
    <xf numFmtId="0" fontId="20" fillId="0" borderId="0" xfId="0" applyFont="1" applyAlignment="1" applyProtection="1">
      <alignment horizontal="left" vertical="center"/>
    </xf>
    <xf numFmtId="0" fontId="0" fillId="4" borderId="1" xfId="0" applyFont="1" applyFill="1" applyBorder="1" applyAlignment="1" applyProtection="1">
      <alignment horizontal="left" vertical="center" wrapText="1"/>
    </xf>
    <xf numFmtId="9" fontId="4" fillId="17" borderId="1" xfId="1" applyNumberFormat="1" applyFont="1" applyFill="1" applyBorder="1" applyAlignment="1" applyProtection="1">
      <alignment horizontal="center" vertical="center"/>
    </xf>
    <xf numFmtId="166" fontId="2" fillId="5" borderId="1" xfId="0" applyNumberFormat="1" applyFont="1" applyFill="1" applyBorder="1" applyAlignment="1" applyProtection="1">
      <alignment horizontal="center" vertical="center"/>
    </xf>
    <xf numFmtId="166" fontId="8" fillId="0" borderId="6" xfId="0" applyNumberFormat="1" applyFont="1" applyBorder="1" applyAlignment="1">
      <alignment vertical="center" wrapText="1"/>
    </xf>
    <xf numFmtId="2" fontId="8" fillId="0" borderId="6" xfId="0" applyNumberFormat="1" applyFont="1" applyBorder="1" applyAlignment="1">
      <alignment vertical="center" wrapText="1"/>
    </xf>
    <xf numFmtId="0" fontId="25" fillId="0" borderId="0" xfId="0" applyFont="1"/>
    <xf numFmtId="164" fontId="8" fillId="0" borderId="10" xfId="0" applyNumberFormat="1" applyFont="1" applyBorder="1" applyAlignment="1">
      <alignment vertical="center" wrapText="1"/>
    </xf>
    <xf numFmtId="164" fontId="8" fillId="0" borderId="1" xfId="0" applyNumberFormat="1" applyFont="1" applyFill="1" applyBorder="1" applyAlignment="1">
      <alignment vertical="center" wrapText="1"/>
    </xf>
    <xf numFmtId="164" fontId="10" fillId="8" borderId="1" xfId="0" applyNumberFormat="1" applyFont="1" applyFill="1" applyBorder="1" applyAlignment="1" applyProtection="1">
      <alignment horizontal="center" vertical="center"/>
    </xf>
    <xf numFmtId="1" fontId="15" fillId="5" borderId="1" xfId="0" applyNumberFormat="1" applyFont="1" applyFill="1" applyBorder="1" applyAlignment="1" applyProtection="1">
      <alignment horizontal="center" vertical="center"/>
    </xf>
    <xf numFmtId="9" fontId="0" fillId="0" borderId="0" xfId="0" applyNumberFormat="1" applyFont="1" applyAlignment="1">
      <alignment vertical="center"/>
    </xf>
    <xf numFmtId="164" fontId="10" fillId="17" borderId="11" xfId="0" applyNumberFormat="1" applyFont="1" applyFill="1" applyBorder="1" applyAlignment="1" applyProtection="1">
      <alignment horizontal="center" vertical="center"/>
    </xf>
    <xf numFmtId="0" fontId="0" fillId="4" borderId="12" xfId="0" applyFont="1" applyFill="1" applyBorder="1" applyAlignment="1" applyProtection="1">
      <alignment horizontal="left" vertical="center"/>
    </xf>
    <xf numFmtId="0" fontId="0" fillId="4" borderId="2" xfId="0" applyFont="1" applyFill="1" applyBorder="1" applyAlignment="1" applyProtection="1">
      <alignment horizontal="left" vertical="center"/>
    </xf>
    <xf numFmtId="0" fontId="0" fillId="4" borderId="3" xfId="0" applyFont="1" applyFill="1" applyBorder="1" applyAlignment="1" applyProtection="1">
      <alignment horizontal="left" vertical="center"/>
    </xf>
    <xf numFmtId="2" fontId="10" fillId="8" borderId="3" xfId="0" applyNumberFormat="1" applyFont="1" applyFill="1" applyBorder="1" applyAlignment="1" applyProtection="1">
      <alignment horizontal="center" vertical="center"/>
    </xf>
    <xf numFmtId="0" fontId="0" fillId="15" borderId="3" xfId="0" applyFont="1" applyFill="1" applyBorder="1" applyAlignment="1" applyProtection="1">
      <alignment horizontal="center" vertical="center"/>
    </xf>
    <xf numFmtId="165" fontId="0" fillId="15" borderId="4" xfId="1" quotePrefix="1" applyNumberFormat="1" applyFont="1" applyFill="1" applyBorder="1" applyAlignment="1" applyProtection="1">
      <alignment horizontal="center" vertical="center"/>
    </xf>
    <xf numFmtId="0" fontId="12" fillId="18" borderId="1" xfId="0" applyFont="1" applyFill="1" applyBorder="1" applyAlignment="1" applyProtection="1">
      <alignment horizontal="left" vertical="center"/>
    </xf>
    <xf numFmtId="2" fontId="12" fillId="18" borderId="1" xfId="0" applyNumberFormat="1" applyFont="1" applyFill="1" applyBorder="1" applyAlignment="1" applyProtection="1">
      <alignment horizontal="center" vertical="center"/>
    </xf>
    <xf numFmtId="0" fontId="12" fillId="18" borderId="7" xfId="0" applyFont="1" applyFill="1" applyBorder="1" applyAlignment="1" applyProtection="1">
      <alignment horizontal="center" vertical="center"/>
    </xf>
    <xf numFmtId="0" fontId="12" fillId="18" borderId="1" xfId="0" applyFont="1" applyFill="1" applyBorder="1" applyAlignment="1" applyProtection="1">
      <alignment horizontal="center" vertical="center"/>
    </xf>
    <xf numFmtId="0" fontId="0" fillId="16" borderId="13" xfId="0" applyFont="1" applyFill="1" applyBorder="1" applyAlignment="1" applyProtection="1">
      <alignment horizontal="left" vertical="center"/>
    </xf>
    <xf numFmtId="0" fontId="0" fillId="16" borderId="14" xfId="0" applyFont="1" applyFill="1" applyBorder="1" applyAlignment="1" applyProtection="1">
      <alignment horizontal="left" vertical="center"/>
    </xf>
    <xf numFmtId="0" fontId="0" fillId="15" borderId="15" xfId="0" applyFont="1" applyFill="1" applyBorder="1" applyAlignment="1" applyProtection="1">
      <alignment horizontal="center" vertical="center"/>
    </xf>
    <xf numFmtId="10" fontId="0" fillId="0" borderId="0" xfId="0" applyNumberFormat="1" applyFont="1" applyAlignment="1">
      <alignment vertical="center"/>
    </xf>
    <xf numFmtId="9" fontId="26" fillId="5" borderId="1" xfId="1" applyNumberFormat="1" applyFont="1" applyFill="1" applyBorder="1" applyAlignment="1" applyProtection="1">
      <alignment horizontal="center" vertical="center"/>
    </xf>
    <xf numFmtId="0" fontId="0" fillId="16" borderId="0" xfId="0" applyFont="1" applyFill="1" applyBorder="1" applyAlignment="1" applyProtection="1">
      <alignment horizontal="left" vertical="center" wrapText="1"/>
    </xf>
    <xf numFmtId="164" fontId="2" fillId="5" borderId="1" xfId="0" applyNumberFormat="1" applyFont="1" applyFill="1" applyBorder="1" applyAlignment="1" applyProtection="1">
      <alignment horizontal="center" vertical="center"/>
    </xf>
    <xf numFmtId="2" fontId="2" fillId="5" borderId="1" xfId="0" applyNumberFormat="1" applyFont="1" applyFill="1" applyBorder="1" applyAlignment="1" applyProtection="1">
      <alignment horizontal="center" vertical="center"/>
    </xf>
    <xf numFmtId="1" fontId="10" fillId="5" borderId="1" xfId="0" applyNumberFormat="1" applyFont="1" applyFill="1" applyBorder="1" applyAlignment="1" applyProtection="1">
      <alignment horizontal="center" vertical="center"/>
    </xf>
    <xf numFmtId="2" fontId="10" fillId="16" borderId="1" xfId="0" applyNumberFormat="1" applyFont="1" applyFill="1" applyBorder="1" applyAlignment="1" applyProtection="1">
      <alignment horizontal="center" vertical="center"/>
      <protection locked="0"/>
    </xf>
    <xf numFmtId="9" fontId="12" fillId="16" borderId="1" xfId="1" applyNumberFormat="1" applyFont="1" applyFill="1" applyBorder="1" applyAlignment="1" applyProtection="1">
      <alignment horizontal="center" vertical="center"/>
      <protection locked="0"/>
    </xf>
    <xf numFmtId="164" fontId="10" fillId="16" borderId="1" xfId="0" applyNumberFormat="1" applyFont="1" applyFill="1" applyBorder="1" applyAlignment="1" applyProtection="1">
      <alignment horizontal="center" vertical="center"/>
      <protection locked="0"/>
    </xf>
    <xf numFmtId="166" fontId="10" fillId="16" borderId="1" xfId="0" applyNumberFormat="1" applyFont="1" applyFill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left"/>
      <protection locked="0"/>
    </xf>
    <xf numFmtId="165" fontId="4" fillId="17" borderId="1" xfId="1" applyNumberFormat="1" applyFont="1" applyFill="1" applyBorder="1" applyAlignment="1" applyProtection="1">
      <alignment horizontal="center" vertical="center"/>
    </xf>
    <xf numFmtId="165" fontId="12" fillId="16" borderId="1" xfId="1" applyNumberFormat="1" applyFont="1" applyFill="1" applyBorder="1" applyAlignment="1" applyProtection="1">
      <alignment horizontal="center" vertical="center"/>
      <protection locked="0"/>
    </xf>
    <xf numFmtId="0" fontId="22" fillId="0" borderId="16" xfId="0" applyFont="1" applyFill="1" applyBorder="1" applyAlignment="1">
      <alignment horizontal="left" vertical="center"/>
    </xf>
    <xf numFmtId="0" fontId="0" fillId="0" borderId="19" xfId="0" applyFont="1" applyBorder="1" applyAlignment="1">
      <alignment horizontal="left"/>
    </xf>
    <xf numFmtId="0" fontId="0" fillId="0" borderId="21" xfId="0" applyFont="1" applyBorder="1" applyAlignment="1">
      <alignment horizontal="left"/>
    </xf>
    <xf numFmtId="0" fontId="22" fillId="0" borderId="17" xfId="0" applyFont="1" applyBorder="1" applyAlignment="1">
      <alignment horizontal="left" vertical="center"/>
    </xf>
    <xf numFmtId="0" fontId="0" fillId="0" borderId="18" xfId="0" applyBorder="1"/>
    <xf numFmtId="0" fontId="22" fillId="0" borderId="1" xfId="0" applyFont="1" applyBorder="1" applyAlignment="1">
      <alignment horizontal="left" vertical="center"/>
    </xf>
    <xf numFmtId="0" fontId="0" fillId="0" borderId="20" xfId="0" applyBorder="1"/>
    <xf numFmtId="0" fontId="0" fillId="0" borderId="1" xfId="0" applyFont="1" applyBorder="1" applyAlignment="1">
      <alignment horizontal="left"/>
    </xf>
    <xf numFmtId="0" fontId="0" fillId="0" borderId="1" xfId="0" applyBorder="1"/>
    <xf numFmtId="0" fontId="22" fillId="0" borderId="22" xfId="0" applyFont="1" applyBorder="1" applyAlignment="1">
      <alignment horizontal="left" vertical="center"/>
    </xf>
    <xf numFmtId="0" fontId="0" fillId="0" borderId="22" xfId="0" applyBorder="1"/>
    <xf numFmtId="0" fontId="0" fillId="0" borderId="23" xfId="0" applyBorder="1"/>
    <xf numFmtId="2" fontId="10" fillId="16" borderId="1" xfId="0" applyNumberFormat="1" applyFont="1" applyFill="1" applyBorder="1" applyAlignment="1" applyProtection="1">
      <alignment horizontal="center" vertical="center"/>
    </xf>
    <xf numFmtId="0" fontId="19" fillId="18" borderId="1" xfId="0" applyFont="1" applyFill="1" applyBorder="1" applyAlignment="1" applyProtection="1">
      <alignment horizontal="left" vertical="center" wrapText="1"/>
    </xf>
    <xf numFmtId="0" fontId="27" fillId="18" borderId="1" xfId="0" applyFont="1" applyFill="1" applyBorder="1" applyAlignment="1" applyProtection="1">
      <alignment horizontal="left" vertical="center" wrapText="1"/>
    </xf>
    <xf numFmtId="0" fontId="28" fillId="0" borderId="0" xfId="0" applyFont="1" applyAlignment="1">
      <alignment horizontal="center"/>
    </xf>
    <xf numFmtId="0" fontId="0" fillId="1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2"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0000FF"/>
      <color rgb="FFFFFF99"/>
      <color rgb="FF00FFFF"/>
      <color rgb="FFFFFFCC"/>
      <color rgb="FF969696"/>
      <color rgb="FF33CC33"/>
      <color rgb="FF003366"/>
      <color rgb="FFFF3300"/>
      <color rgb="FFFF6A47"/>
      <color rgb="FFF5F5A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VIN</a:t>
            </a:r>
            <a:r>
              <a:rPr lang="en-US" baseline="0"/>
              <a:t> Thresholds Programmed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'Calculation Sheet'!$K$16:$K$18</c:f>
              <c:strCache>
                <c:ptCount val="3"/>
                <c:pt idx="0">
                  <c:v>Power Fail 
(VIN Falling)</c:v>
                </c:pt>
                <c:pt idx="1">
                  <c:v>UVLO 
(VIN Rising)</c:v>
                </c:pt>
                <c:pt idx="2">
                  <c:v>OVP
(VIN Rising)</c:v>
                </c:pt>
              </c:strCache>
            </c:strRef>
          </c:cat>
          <c:val>
            <c:numRef>
              <c:f>'Calculation Sheet'!$J$16:$J$18</c:f>
              <c:numCache>
                <c:formatCode>0.00</c:formatCode>
                <c:ptCount val="3"/>
                <c:pt idx="0">
                  <c:v>4.6175740868366653</c:v>
                </c:pt>
                <c:pt idx="1">
                  <c:v>5.0499469331495526</c:v>
                </c:pt>
                <c:pt idx="2">
                  <c:v>24.343764119601328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299904"/>
        <c:axId val="84099840"/>
      </c:lineChart>
      <c:catAx>
        <c:axId val="82299904"/>
        <c:scaling>
          <c:orientation val="minMax"/>
        </c:scaling>
        <c:delete val="0"/>
        <c:axPos val="b"/>
        <c:majorGridlines/>
        <c:min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900" b="1"/>
            </a:pPr>
            <a:endParaRPr lang="en-US"/>
          </a:p>
        </c:txPr>
        <c:crossAx val="84099840"/>
        <c:crosses val="autoZero"/>
        <c:auto val="0"/>
        <c:lblAlgn val="ctr"/>
        <c:lblOffset val="100"/>
        <c:noMultiLvlLbl val="0"/>
      </c:catAx>
      <c:valAx>
        <c:axId val="8409984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82299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Thermal Shutdown Time Vs. Power Dissipation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'Thermal Shutdown Limit Plot'!$B$2</c:f>
              <c:strCache>
                <c:ptCount val="1"/>
                <c:pt idx="0">
                  <c:v>TA = -40C</c:v>
                </c:pt>
              </c:strCache>
            </c:strRef>
          </c:tx>
          <c:spPr>
            <a:ln w="3810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'Thermal Shutdown Limit Plot'!$A$3:$A$31</c:f>
              <c:numCache>
                <c:formatCode>General</c:formatCode>
                <c:ptCount val="2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2.25</c:v>
                </c:pt>
                <c:pt idx="4">
                  <c:v>2.5</c:v>
                </c:pt>
                <c:pt idx="5">
                  <c:v>2.75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  <c:pt idx="10">
                  <c:v>6.5</c:v>
                </c:pt>
                <c:pt idx="11">
                  <c:v>7</c:v>
                </c:pt>
                <c:pt idx="12">
                  <c:v>7.25</c:v>
                </c:pt>
                <c:pt idx="13">
                  <c:v>7.5</c:v>
                </c:pt>
                <c:pt idx="14">
                  <c:v>7.75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18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48</c:v>
                </c:pt>
              </c:numCache>
            </c:numRef>
          </c:xVal>
          <c:yVal>
            <c:numRef>
              <c:f>'Thermal Shutdown Limit Plot'!$B$3:$B$31</c:f>
              <c:numCache>
                <c:formatCode>General</c:formatCode>
                <c:ptCount val="29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  <c:pt idx="12">
                  <c:v>100000</c:v>
                </c:pt>
                <c:pt idx="13">
                  <c:v>100000</c:v>
                </c:pt>
                <c:pt idx="14">
                  <c:v>8503.8952000000008</c:v>
                </c:pt>
                <c:pt idx="15">
                  <c:v>4840.6873999999998</c:v>
                </c:pt>
                <c:pt idx="16">
                  <c:v>1097.6738</c:v>
                </c:pt>
                <c:pt idx="17">
                  <c:v>499.10669999999999</c:v>
                </c:pt>
                <c:pt idx="18">
                  <c:v>208.607</c:v>
                </c:pt>
                <c:pt idx="19">
                  <c:v>111.63979999999999</c:v>
                </c:pt>
                <c:pt idx="20">
                  <c:v>54.177791999999997</c:v>
                </c:pt>
                <c:pt idx="21">
                  <c:v>32.23048</c:v>
                </c:pt>
                <c:pt idx="22">
                  <c:v>23.531379999999999</c:v>
                </c:pt>
                <c:pt idx="23">
                  <c:v>9.9240600000000008</c:v>
                </c:pt>
                <c:pt idx="24">
                  <c:v>6.0134610000000004</c:v>
                </c:pt>
                <c:pt idx="25">
                  <c:v>3.8107500000000001</c:v>
                </c:pt>
                <c:pt idx="26">
                  <c:v>2.821126</c:v>
                </c:pt>
                <c:pt idx="27">
                  <c:v>2.2305450000000002</c:v>
                </c:pt>
                <c:pt idx="28">
                  <c:v>1.9591970000000001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'Thermal Shutdown Limit Plot'!$C$2</c:f>
              <c:strCache>
                <c:ptCount val="1"/>
                <c:pt idx="0">
                  <c:v>TA = 25C</c:v>
                </c:pt>
              </c:strCache>
            </c:strRef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'Thermal Shutdown Limit Plot'!$A$3:$A$31</c:f>
              <c:numCache>
                <c:formatCode>General</c:formatCode>
                <c:ptCount val="2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2.25</c:v>
                </c:pt>
                <c:pt idx="4">
                  <c:v>2.5</c:v>
                </c:pt>
                <c:pt idx="5">
                  <c:v>2.75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  <c:pt idx="10">
                  <c:v>6.5</c:v>
                </c:pt>
                <c:pt idx="11">
                  <c:v>7</c:v>
                </c:pt>
                <c:pt idx="12">
                  <c:v>7.25</c:v>
                </c:pt>
                <c:pt idx="13">
                  <c:v>7.5</c:v>
                </c:pt>
                <c:pt idx="14">
                  <c:v>7.75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18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48</c:v>
                </c:pt>
              </c:numCache>
            </c:numRef>
          </c:xVal>
          <c:yVal>
            <c:numRef>
              <c:f>'Thermal Shutdown Limit Plot'!$C$3:$C$31</c:f>
              <c:numCache>
                <c:formatCode>General</c:formatCode>
                <c:ptCount val="29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4914.0249999999996</c:v>
                </c:pt>
                <c:pt idx="9">
                  <c:v>949.1</c:v>
                </c:pt>
                <c:pt idx="10">
                  <c:v>579.62699999999995</c:v>
                </c:pt>
                <c:pt idx="11">
                  <c:v>394.88600000000002</c:v>
                </c:pt>
                <c:pt idx="12">
                  <c:v>335.97899999999998</c:v>
                </c:pt>
                <c:pt idx="13">
                  <c:v>284.75299999999999</c:v>
                </c:pt>
                <c:pt idx="14">
                  <c:v>249.22399999999999</c:v>
                </c:pt>
                <c:pt idx="15">
                  <c:v>215.779</c:v>
                </c:pt>
                <c:pt idx="16">
                  <c:v>147.5472</c:v>
                </c:pt>
                <c:pt idx="17">
                  <c:v>92.871949999999998</c:v>
                </c:pt>
                <c:pt idx="18">
                  <c:v>44.1004</c:v>
                </c:pt>
                <c:pt idx="19">
                  <c:v>22.969200000000001</c:v>
                </c:pt>
                <c:pt idx="20">
                  <c:v>13.210100000000001</c:v>
                </c:pt>
                <c:pt idx="21">
                  <c:v>8.1564999999999994</c:v>
                </c:pt>
                <c:pt idx="22">
                  <c:v>5.7961</c:v>
                </c:pt>
                <c:pt idx="23">
                  <c:v>3.0185499999999998</c:v>
                </c:pt>
                <c:pt idx="24">
                  <c:v>2.1153599999999999</c:v>
                </c:pt>
                <c:pt idx="25">
                  <c:v>1.5157</c:v>
                </c:pt>
                <c:pt idx="26">
                  <c:v>1.1907700000000001</c:v>
                </c:pt>
                <c:pt idx="27">
                  <c:v>0.96432799999999996</c:v>
                </c:pt>
                <c:pt idx="28">
                  <c:v>0.93799999999999994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'Thermal Shutdown Limit Plot'!$D$2</c:f>
              <c:strCache>
                <c:ptCount val="1"/>
                <c:pt idx="0">
                  <c:v>TA = 85C</c:v>
                </c:pt>
              </c:strCache>
            </c:strRef>
          </c:tx>
          <c:spPr>
            <a:ln w="38100">
              <a:solidFill>
                <a:schemeClr val="accent4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'Thermal Shutdown Limit Plot'!$A$3:$A$31</c:f>
              <c:numCache>
                <c:formatCode>General</c:formatCode>
                <c:ptCount val="2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2.25</c:v>
                </c:pt>
                <c:pt idx="4">
                  <c:v>2.5</c:v>
                </c:pt>
                <c:pt idx="5">
                  <c:v>2.75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  <c:pt idx="10">
                  <c:v>6.5</c:v>
                </c:pt>
                <c:pt idx="11">
                  <c:v>7</c:v>
                </c:pt>
                <c:pt idx="12">
                  <c:v>7.25</c:v>
                </c:pt>
                <c:pt idx="13">
                  <c:v>7.5</c:v>
                </c:pt>
                <c:pt idx="14">
                  <c:v>7.75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18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48</c:v>
                </c:pt>
              </c:numCache>
            </c:numRef>
          </c:xVal>
          <c:yVal>
            <c:numRef>
              <c:f>'Thermal Shutdown Limit Plot'!$D$3:$D$31</c:f>
              <c:numCache>
                <c:formatCode>General</c:formatCode>
                <c:ptCount val="29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832.89</c:v>
                </c:pt>
                <c:pt idx="8">
                  <c:v>215.88</c:v>
                </c:pt>
                <c:pt idx="9">
                  <c:v>98.593999999999994</c:v>
                </c:pt>
                <c:pt idx="10">
                  <c:v>70.373999999999995</c:v>
                </c:pt>
                <c:pt idx="11">
                  <c:v>51.864800000000002</c:v>
                </c:pt>
                <c:pt idx="12">
                  <c:v>44.392000000000003</c:v>
                </c:pt>
                <c:pt idx="13">
                  <c:v>38.24</c:v>
                </c:pt>
                <c:pt idx="14">
                  <c:v>33.07</c:v>
                </c:pt>
                <c:pt idx="15">
                  <c:v>29.013000000000002</c:v>
                </c:pt>
                <c:pt idx="16">
                  <c:v>17.454999999999998</c:v>
                </c:pt>
                <c:pt idx="17">
                  <c:v>11.372</c:v>
                </c:pt>
                <c:pt idx="18">
                  <c:v>6.1650999999999998</c:v>
                </c:pt>
                <c:pt idx="19">
                  <c:v>3.9156</c:v>
                </c:pt>
                <c:pt idx="20">
                  <c:v>2.8209</c:v>
                </c:pt>
                <c:pt idx="21">
                  <c:v>2.1941000000000002</c:v>
                </c:pt>
                <c:pt idx="22">
                  <c:v>1.7647699999999999</c:v>
                </c:pt>
                <c:pt idx="23">
                  <c:v>1.155</c:v>
                </c:pt>
                <c:pt idx="24">
                  <c:v>0.92127199999999998</c:v>
                </c:pt>
                <c:pt idx="25">
                  <c:v>0.72171200000000002</c:v>
                </c:pt>
                <c:pt idx="26">
                  <c:v>0.60058400000000001</c:v>
                </c:pt>
                <c:pt idx="27">
                  <c:v>0.523312</c:v>
                </c:pt>
                <c:pt idx="28">
                  <c:v>0.51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'Thermal Shutdown Limit Plot'!$E$2</c:f>
              <c:strCache>
                <c:ptCount val="1"/>
                <c:pt idx="0">
                  <c:v>TA = 105C</c:v>
                </c:pt>
              </c:strCache>
            </c:strRef>
          </c:tx>
          <c:spPr>
            <a:ln w="38100"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'Thermal Shutdown Limit Plot'!$A$3:$A$31</c:f>
              <c:numCache>
                <c:formatCode>General</c:formatCode>
                <c:ptCount val="2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2.25</c:v>
                </c:pt>
                <c:pt idx="4">
                  <c:v>2.5</c:v>
                </c:pt>
                <c:pt idx="5">
                  <c:v>2.75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  <c:pt idx="10">
                  <c:v>6.5</c:v>
                </c:pt>
                <c:pt idx="11">
                  <c:v>7</c:v>
                </c:pt>
                <c:pt idx="12">
                  <c:v>7.25</c:v>
                </c:pt>
                <c:pt idx="13">
                  <c:v>7.5</c:v>
                </c:pt>
                <c:pt idx="14">
                  <c:v>7.75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18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48</c:v>
                </c:pt>
              </c:numCache>
            </c:numRef>
          </c:xVal>
          <c:yVal>
            <c:numRef>
              <c:f>'Thermal Shutdown Limit Plot'!$E$3:$E$31</c:f>
              <c:numCache>
                <c:formatCode>General</c:formatCode>
                <c:ptCount val="29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9445.3799999999992</c:v>
                </c:pt>
                <c:pt idx="5">
                  <c:v>2880.97</c:v>
                </c:pt>
                <c:pt idx="6">
                  <c:v>1240.875</c:v>
                </c:pt>
                <c:pt idx="7">
                  <c:v>185.68625</c:v>
                </c:pt>
                <c:pt idx="8">
                  <c:v>67.3005</c:v>
                </c:pt>
                <c:pt idx="9">
                  <c:v>31.062950000000001</c:v>
                </c:pt>
                <c:pt idx="10">
                  <c:v>22.368749999999999</c:v>
                </c:pt>
                <c:pt idx="11">
                  <c:v>16.783865000000006</c:v>
                </c:pt>
                <c:pt idx="12">
                  <c:v>14.756244999999996</c:v>
                </c:pt>
                <c:pt idx="13">
                  <c:v>12.8507</c:v>
                </c:pt>
                <c:pt idx="14">
                  <c:v>11.280774999999998</c:v>
                </c:pt>
                <c:pt idx="15">
                  <c:v>10.020600000000002</c:v>
                </c:pt>
                <c:pt idx="16">
                  <c:v>6.4794249999999991</c:v>
                </c:pt>
                <c:pt idx="17">
                  <c:v>4.5218749999999996</c:v>
                </c:pt>
                <c:pt idx="18">
                  <c:v>2.7402250000000006</c:v>
                </c:pt>
                <c:pt idx="19">
                  <c:v>1.8818999999999999</c:v>
                </c:pt>
                <c:pt idx="20">
                  <c:v>1.4326890000000001</c:v>
                </c:pt>
                <c:pt idx="21">
                  <c:v>1.1533069999999999</c:v>
                </c:pt>
                <c:pt idx="22">
                  <c:v>0.96289249999999993</c:v>
                </c:pt>
                <c:pt idx="23">
                  <c:v>0.67730999999999997</c:v>
                </c:pt>
                <c:pt idx="24">
                  <c:v>0.6075124999999999</c:v>
                </c:pt>
                <c:pt idx="25">
                  <c:v>0.48437449999999999</c:v>
                </c:pt>
                <c:pt idx="26">
                  <c:v>0.41217500000000001</c:v>
                </c:pt>
                <c:pt idx="27">
                  <c:v>0.35989599999999999</c:v>
                </c:pt>
                <c:pt idx="28">
                  <c:v>0.3414585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'Thermal Shutdown Limit Plot'!$F$2</c:f>
              <c:strCache>
                <c:ptCount val="1"/>
                <c:pt idx="0">
                  <c:v>TA = 125C</c:v>
                </c:pt>
              </c:strCache>
            </c:strRef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'Thermal Shutdown Limit Plot'!$A$3:$A$31</c:f>
              <c:numCache>
                <c:formatCode>General</c:formatCode>
                <c:ptCount val="29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2.25</c:v>
                </c:pt>
                <c:pt idx="4">
                  <c:v>2.5</c:v>
                </c:pt>
                <c:pt idx="5">
                  <c:v>2.75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  <c:pt idx="10">
                  <c:v>6.5</c:v>
                </c:pt>
                <c:pt idx="11">
                  <c:v>7</c:v>
                </c:pt>
                <c:pt idx="12">
                  <c:v>7.25</c:v>
                </c:pt>
                <c:pt idx="13">
                  <c:v>7.5</c:v>
                </c:pt>
                <c:pt idx="14">
                  <c:v>7.75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18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48</c:v>
                </c:pt>
              </c:numCache>
            </c:numRef>
          </c:xVal>
          <c:yVal>
            <c:numRef>
              <c:f>'Thermal Shutdown Limit Plot'!$F$3:$F$31</c:f>
              <c:numCache>
                <c:formatCode>General</c:formatCode>
                <c:ptCount val="29"/>
                <c:pt idx="0">
                  <c:v>100000</c:v>
                </c:pt>
                <c:pt idx="1">
                  <c:v>100000</c:v>
                </c:pt>
                <c:pt idx="2">
                  <c:v>1400</c:v>
                </c:pt>
                <c:pt idx="3">
                  <c:v>580</c:v>
                </c:pt>
                <c:pt idx="4">
                  <c:v>342</c:v>
                </c:pt>
                <c:pt idx="5">
                  <c:v>229</c:v>
                </c:pt>
                <c:pt idx="6">
                  <c:v>161</c:v>
                </c:pt>
                <c:pt idx="7">
                  <c:v>41.8</c:v>
                </c:pt>
                <c:pt idx="8">
                  <c:v>17.774000000000001</c:v>
                </c:pt>
                <c:pt idx="9">
                  <c:v>8.5526</c:v>
                </c:pt>
                <c:pt idx="10">
                  <c:v>6.367</c:v>
                </c:pt>
                <c:pt idx="11">
                  <c:v>5.0902200000000004</c:v>
                </c:pt>
                <c:pt idx="12">
                  <c:v>4.8776599999999997</c:v>
                </c:pt>
                <c:pt idx="13">
                  <c:v>4.3875999999999999</c:v>
                </c:pt>
                <c:pt idx="14">
                  <c:v>4.0176999999999996</c:v>
                </c:pt>
                <c:pt idx="15">
                  <c:v>3.6898</c:v>
                </c:pt>
                <c:pt idx="16">
                  <c:v>2.8209</c:v>
                </c:pt>
                <c:pt idx="17">
                  <c:v>2.2385000000000002</c:v>
                </c:pt>
                <c:pt idx="18">
                  <c:v>1.5986</c:v>
                </c:pt>
                <c:pt idx="19">
                  <c:v>1.204</c:v>
                </c:pt>
                <c:pt idx="20">
                  <c:v>0.96995200000000004</c:v>
                </c:pt>
                <c:pt idx="21">
                  <c:v>0.80637599999999998</c:v>
                </c:pt>
                <c:pt idx="22">
                  <c:v>0.6956</c:v>
                </c:pt>
                <c:pt idx="23">
                  <c:v>0.51807999999999998</c:v>
                </c:pt>
                <c:pt idx="24">
                  <c:v>0.50292599999999998</c:v>
                </c:pt>
                <c:pt idx="25">
                  <c:v>0.40526200000000001</c:v>
                </c:pt>
                <c:pt idx="26">
                  <c:v>0.34937200000000002</c:v>
                </c:pt>
                <c:pt idx="27">
                  <c:v>0.30542399999999997</c:v>
                </c:pt>
                <c:pt idx="28">
                  <c:v>0.28527799999999998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206336"/>
        <c:axId val="84208256"/>
      </c:scatterChart>
      <c:valAx>
        <c:axId val="84206336"/>
        <c:scaling>
          <c:logBase val="10"/>
          <c:orientation val="minMax"/>
          <c:max val="5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600" b="1" i="0" baseline="0">
                    <a:effectLst/>
                  </a:rPr>
                  <a:t>Power dissipation (W)</a:t>
                </a:r>
                <a:endParaRPr lang="en-US" sz="1600">
                  <a:effectLst/>
                </a:endParaRP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low"/>
        <c:crossAx val="84208256"/>
        <c:crossesAt val="0.1"/>
        <c:crossBetween val="midCat"/>
      </c:valAx>
      <c:valAx>
        <c:axId val="84208256"/>
        <c:scaling>
          <c:logBase val="10"/>
          <c:orientation val="minMax"/>
          <c:max val="100000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600" b="1" i="0" baseline="0">
                    <a:effectLst/>
                  </a:rPr>
                  <a:t>Thermal Shutdown Time (ms)</a:t>
                </a:r>
                <a:endParaRPr lang="en-US" sz="1600">
                  <a:effectLst/>
                </a:endParaRPr>
              </a:p>
            </c:rich>
          </c:tx>
          <c:layout/>
          <c:overlay val="0"/>
        </c:title>
        <c:numFmt formatCode="General" sourceLinked="0"/>
        <c:majorTickMark val="in"/>
        <c:minorTickMark val="none"/>
        <c:tickLblPos val="low"/>
        <c:crossAx val="84206336"/>
        <c:crossesAt val="0.1"/>
        <c:crossBetween val="midCat"/>
      </c:valAx>
      <c:spPr>
        <a:ln w="31750">
          <a:solidFill>
            <a:schemeClr val="tx1"/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73479</xdr:colOff>
      <xdr:row>14</xdr:row>
      <xdr:rowOff>84841</xdr:rowOff>
    </xdr:from>
    <xdr:to>
      <xdr:col>11</xdr:col>
      <xdr:colOff>1698172</xdr:colOff>
      <xdr:row>25</xdr:row>
      <xdr:rowOff>206827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421825</xdr:colOff>
      <xdr:row>0</xdr:row>
      <xdr:rowOff>0</xdr:rowOff>
    </xdr:from>
    <xdr:to>
      <xdr:col>11</xdr:col>
      <xdr:colOff>2394860</xdr:colOff>
      <xdr:row>12</xdr:row>
      <xdr:rowOff>152881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91111" y="0"/>
          <a:ext cx="5742213" cy="30784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43543</xdr:colOff>
      <xdr:row>5</xdr:row>
      <xdr:rowOff>5442</xdr:rowOff>
    </xdr:from>
    <xdr:to>
      <xdr:col>21</xdr:col>
      <xdr:colOff>174172</xdr:colOff>
      <xdr:row>38</xdr:row>
      <xdr:rowOff>163285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M74"/>
  <sheetViews>
    <sheetView showGridLines="0" zoomScale="70" zoomScaleNormal="70" workbookViewId="0">
      <pane xSplit="2" ySplit="13" topLeftCell="C14" activePane="bottomRight" state="frozen"/>
      <selection pane="topRight" activeCell="C1" sqref="C1"/>
      <selection pane="bottomLeft" activeCell="A16" sqref="A16"/>
      <selection pane="bottomRight" activeCell="H1" sqref="H1"/>
    </sheetView>
  </sheetViews>
  <sheetFormatPr defaultColWidth="9.109375" defaultRowHeight="18" customHeight="1" x14ac:dyDescent="0.3"/>
  <cols>
    <col min="1" max="1" width="2" style="1" customWidth="1"/>
    <col min="2" max="2" width="29" style="38" customWidth="1"/>
    <col min="3" max="3" width="86.6640625" style="38" customWidth="1"/>
    <col min="4" max="4" width="14.33203125" style="71" customWidth="1"/>
    <col min="5" max="5" width="8.88671875" style="4" customWidth="1"/>
    <col min="6" max="6" width="10.33203125" style="4" customWidth="1"/>
    <col min="7" max="7" width="8.33203125" style="38" hidden="1" customWidth="1"/>
    <col min="8" max="9" width="9.109375" style="1"/>
    <col min="10" max="10" width="20.6640625" style="1" customWidth="1"/>
    <col min="11" max="11" width="17.33203125" style="1" customWidth="1"/>
    <col min="12" max="12" width="50.33203125" style="3" customWidth="1"/>
    <col min="13" max="13" width="9.109375" style="1" hidden="1" customWidth="1"/>
    <col min="14" max="14" width="26.33203125" style="1" customWidth="1"/>
    <col min="15" max="16384" width="9.109375" style="1"/>
  </cols>
  <sheetData>
    <row r="1" spans="2:13" ht="18" customHeight="1" x14ac:dyDescent="0.3">
      <c r="B1" s="12" t="s">
        <v>150</v>
      </c>
      <c r="C1" s="72"/>
      <c r="D1" s="50"/>
      <c r="E1" s="13"/>
      <c r="F1" s="13"/>
    </row>
    <row r="2" spans="2:13" ht="18" customHeight="1" x14ac:dyDescent="0.3">
      <c r="B2" s="68" t="s">
        <v>20</v>
      </c>
      <c r="C2" s="73" t="s">
        <v>111</v>
      </c>
      <c r="D2" s="51" t="s">
        <v>21</v>
      </c>
      <c r="E2" s="13"/>
      <c r="F2" s="13"/>
    </row>
    <row r="3" spans="2:13" ht="30.6" customHeight="1" x14ac:dyDescent="0.3">
      <c r="B3" s="16"/>
      <c r="C3" s="112" t="s">
        <v>112</v>
      </c>
      <c r="D3" s="50"/>
      <c r="E3" s="13"/>
      <c r="F3" s="13"/>
    </row>
    <row r="4" spans="2:13" ht="18" customHeight="1" x14ac:dyDescent="0.3">
      <c r="B4" s="103" t="s">
        <v>0</v>
      </c>
      <c r="C4" s="103" t="s">
        <v>1</v>
      </c>
      <c r="D4" s="104" t="s">
        <v>2</v>
      </c>
      <c r="E4" s="105" t="s">
        <v>3</v>
      </c>
      <c r="F4" s="106" t="s">
        <v>30</v>
      </c>
    </row>
    <row r="5" spans="2:13" ht="18" customHeight="1" x14ac:dyDescent="0.3">
      <c r="B5" s="74" t="s">
        <v>57</v>
      </c>
      <c r="C5" s="74" t="s">
        <v>54</v>
      </c>
      <c r="D5" s="54">
        <v>48</v>
      </c>
      <c r="E5" s="53" t="s">
        <v>6</v>
      </c>
      <c r="F5" s="14"/>
    </row>
    <row r="6" spans="2:13" ht="18" customHeight="1" x14ac:dyDescent="0.3">
      <c r="B6" s="74" t="s">
        <v>110</v>
      </c>
      <c r="C6" s="74" t="s">
        <v>67</v>
      </c>
      <c r="D6" s="52">
        <v>5</v>
      </c>
      <c r="E6" s="53" t="s">
        <v>6</v>
      </c>
      <c r="F6" s="14"/>
    </row>
    <row r="7" spans="2:13" ht="18" customHeight="1" x14ac:dyDescent="0.3">
      <c r="B7" s="74" t="s">
        <v>43</v>
      </c>
      <c r="C7" s="74" t="s">
        <v>66</v>
      </c>
      <c r="D7" s="52">
        <v>24</v>
      </c>
      <c r="E7" s="53" t="s">
        <v>6</v>
      </c>
      <c r="F7" s="14"/>
    </row>
    <row r="8" spans="2:13" ht="18" customHeight="1" x14ac:dyDescent="0.3">
      <c r="B8" s="74" t="s">
        <v>8</v>
      </c>
      <c r="C8" s="74" t="s">
        <v>9</v>
      </c>
      <c r="D8" s="54">
        <v>47</v>
      </c>
      <c r="E8" s="53" t="s">
        <v>55</v>
      </c>
      <c r="F8" s="86">
        <v>0.1</v>
      </c>
    </row>
    <row r="9" spans="2:13" ht="18" customHeight="1" x14ac:dyDescent="0.3">
      <c r="B9" s="74" t="s">
        <v>56</v>
      </c>
      <c r="C9" s="74" t="s">
        <v>113</v>
      </c>
      <c r="D9" s="55" t="s">
        <v>127</v>
      </c>
      <c r="E9" s="53" t="s">
        <v>58</v>
      </c>
      <c r="F9" s="14"/>
    </row>
    <row r="10" spans="2:13" ht="18" customHeight="1" x14ac:dyDescent="0.3">
      <c r="B10" s="74" t="s">
        <v>59</v>
      </c>
      <c r="C10" s="74" t="s">
        <v>130</v>
      </c>
      <c r="D10" s="54">
        <v>100</v>
      </c>
      <c r="E10" s="56" t="s">
        <v>62</v>
      </c>
      <c r="F10" s="14"/>
    </row>
    <row r="11" spans="2:13" ht="18" customHeight="1" x14ac:dyDescent="0.3">
      <c r="B11" s="74" t="s">
        <v>10</v>
      </c>
      <c r="C11" s="74" t="s">
        <v>61</v>
      </c>
      <c r="D11" s="96">
        <v>0.8</v>
      </c>
      <c r="E11" s="53" t="s">
        <v>4</v>
      </c>
      <c r="F11" s="14"/>
    </row>
    <row r="12" spans="2:13" ht="18" customHeight="1" x14ac:dyDescent="0.3">
      <c r="B12" s="107" t="s">
        <v>60</v>
      </c>
      <c r="C12" s="108" t="s">
        <v>145</v>
      </c>
      <c r="D12" s="135">
        <f>MIN(1.1*Imax,0.88)</f>
        <v>0.88</v>
      </c>
      <c r="E12" s="109" t="s">
        <v>4</v>
      </c>
      <c r="F12" s="14"/>
    </row>
    <row r="13" spans="2:13" ht="18" customHeight="1" x14ac:dyDescent="0.3">
      <c r="B13" s="16"/>
      <c r="C13" s="16"/>
      <c r="D13" s="50"/>
      <c r="E13" s="13"/>
      <c r="F13" s="13"/>
    </row>
    <row r="14" spans="2:13" ht="18" customHeight="1" x14ac:dyDescent="0.3">
      <c r="B14" s="75" t="s">
        <v>88</v>
      </c>
      <c r="C14" s="76"/>
      <c r="D14" s="57"/>
      <c r="E14" s="41"/>
      <c r="F14" s="41"/>
    </row>
    <row r="15" spans="2:13" ht="15.6" x14ac:dyDescent="0.3">
      <c r="B15" s="74" t="s">
        <v>63</v>
      </c>
      <c r="C15" s="74" t="s">
        <v>116</v>
      </c>
      <c r="D15" s="54">
        <v>30.1</v>
      </c>
      <c r="E15" s="53" t="s">
        <v>64</v>
      </c>
      <c r="F15" s="121">
        <v>0.01</v>
      </c>
      <c r="M15" s="1">
        <f>IF(D15&lt;10, D15*100, IF(AND(D15&gt;=10, D15&lt;100),D15*10,IF(AND(D15&gt;=100, D15&lt;1000), D15, IF(D15&gt;=1000, D15/10))))</f>
        <v>301</v>
      </c>
    </row>
    <row r="16" spans="2:13" ht="18" customHeight="1" x14ac:dyDescent="0.3">
      <c r="B16" s="77" t="s">
        <v>39</v>
      </c>
      <c r="C16" s="77" t="s">
        <v>27</v>
      </c>
      <c r="D16" s="58">
        <f>D15*((UVLOref*OVset/(UVset*OVPref))-1)</f>
        <v>114.38</v>
      </c>
      <c r="E16" s="59" t="s">
        <v>64</v>
      </c>
      <c r="F16" s="15"/>
      <c r="J16" s="3">
        <f>D24</f>
        <v>4.6175740868366653</v>
      </c>
      <c r="K16" s="37" t="s">
        <v>52</v>
      </c>
      <c r="M16" s="1">
        <f t="shared" ref="M16:M17" si="0">IF(D16&lt;10, D16*100, IF(AND(D16&gt;=10, D16&lt;100),D16*10,IF(AND(D16&gt;=100, D16&lt;1000), D16, IF(D16&gt;=1000, D16/10))))</f>
        <v>114.38</v>
      </c>
    </row>
    <row r="17" spans="2:13" ht="18" customHeight="1" x14ac:dyDescent="0.3">
      <c r="B17" s="77" t="s">
        <v>65</v>
      </c>
      <c r="C17" s="77" t="s">
        <v>69</v>
      </c>
      <c r="D17" s="58">
        <f>D15*(OVset/OVPref)*(1-(UVLOref/UVset))</f>
        <v>456.01875311720687</v>
      </c>
      <c r="E17" s="59" t="s">
        <v>64</v>
      </c>
      <c r="F17" s="15"/>
      <c r="J17" s="3">
        <f>D22</f>
        <v>5.0499469331495526</v>
      </c>
      <c r="K17" s="37" t="s">
        <v>53</v>
      </c>
      <c r="M17" s="1">
        <f t="shared" si="0"/>
        <v>456.01875311720687</v>
      </c>
    </row>
    <row r="18" spans="2:13" ht="18" customHeight="1" x14ac:dyDescent="0.3">
      <c r="B18" s="78" t="s">
        <v>131</v>
      </c>
      <c r="C18" s="78"/>
      <c r="D18" s="60"/>
      <c r="E18" s="61"/>
      <c r="F18" s="11"/>
      <c r="J18" s="3">
        <f>D23</f>
        <v>24.343764119601328</v>
      </c>
      <c r="K18" s="37" t="s">
        <v>148</v>
      </c>
    </row>
    <row r="19" spans="2:13" ht="18" customHeight="1" x14ac:dyDescent="0.3">
      <c r="B19" s="79" t="s">
        <v>63</v>
      </c>
      <c r="C19" s="79" t="s">
        <v>119</v>
      </c>
      <c r="D19" s="116">
        <f>G19</f>
        <v>30.1</v>
      </c>
      <c r="E19" s="59" t="s">
        <v>64</v>
      </c>
      <c r="F19" s="122">
        <f>F15</f>
        <v>0.01</v>
      </c>
      <c r="G19" s="38">
        <f>M19*D15/M15</f>
        <v>30.1</v>
      </c>
      <c r="M19" s="47">
        <f>INDEX('Res EIA Tables'!E$5:E$196,MATCH(M15,'Res EIA Tables'!E$5:E$196))</f>
        <v>301</v>
      </c>
    </row>
    <row r="20" spans="2:13" ht="18" customHeight="1" x14ac:dyDescent="0.3">
      <c r="B20" s="79" t="s">
        <v>70</v>
      </c>
      <c r="C20" s="79" t="s">
        <v>120</v>
      </c>
      <c r="D20" s="116">
        <f>G20</f>
        <v>115</v>
      </c>
      <c r="E20" s="59" t="s">
        <v>64</v>
      </c>
      <c r="F20" s="122">
        <f>F15</f>
        <v>0.01</v>
      </c>
      <c r="G20" s="38">
        <f>M20*D16/M16</f>
        <v>115</v>
      </c>
      <c r="M20" s="47">
        <f>INDEX('Res EIA Tables'!E$5:E$196,2+MATCH(M16,'Res EIA Tables'!E$5:E$196))</f>
        <v>115</v>
      </c>
    </row>
    <row r="21" spans="2:13" ht="18" customHeight="1" x14ac:dyDescent="0.3">
      <c r="B21" s="79" t="s">
        <v>71</v>
      </c>
      <c r="C21" s="79" t="s">
        <v>121</v>
      </c>
      <c r="D21" s="116">
        <f>G21</f>
        <v>464</v>
      </c>
      <c r="E21" s="59" t="s">
        <v>64</v>
      </c>
      <c r="F21" s="122">
        <f>F15</f>
        <v>0.01</v>
      </c>
      <c r="G21" s="48">
        <f>M21*D17/M17</f>
        <v>464</v>
      </c>
      <c r="M21" s="47">
        <f>INDEX('Res EIA Tables'!E$5:E$196,2+MATCH(M17,'Res EIA Tables'!E$5:E$196))</f>
        <v>464</v>
      </c>
    </row>
    <row r="22" spans="2:13" s="19" customFormat="1" ht="18" customHeight="1" x14ac:dyDescent="0.3">
      <c r="B22" s="80" t="s">
        <v>72</v>
      </c>
      <c r="C22" s="80" t="str">
        <f>C6</f>
        <v>Undervoltage Lockout Threshold</v>
      </c>
      <c r="D22" s="62">
        <f>UVLOref*((ROVP+RUVLO+RIN)/(ROVP+RUVLO))</f>
        <v>5.0499469331495526</v>
      </c>
      <c r="E22" s="63" t="s">
        <v>6</v>
      </c>
      <c r="F22" s="18">
        <f>SQRT(F69^2+F19^2+F20^2+F21^2)</f>
        <v>3.3778691508109075E-2</v>
      </c>
      <c r="G22" s="39"/>
      <c r="L22" s="20"/>
    </row>
    <row r="23" spans="2:13" s="19" customFormat="1" ht="18" customHeight="1" x14ac:dyDescent="0.3">
      <c r="B23" s="80" t="s">
        <v>73</v>
      </c>
      <c r="C23" s="80" t="str">
        <f>C7</f>
        <v>Over Voltage Cut-Off Threshold</v>
      </c>
      <c r="D23" s="62">
        <f>OVPref*((ROVP+RUVLO+RIN)/ROVP)</f>
        <v>24.343764119601328</v>
      </c>
      <c r="E23" s="63" t="s">
        <v>6</v>
      </c>
      <c r="F23" s="18">
        <f>SQRT(F71^2+F19^2+F20^2+F21^2)</f>
        <v>3.3778691508109075E-2</v>
      </c>
      <c r="G23" s="39"/>
      <c r="L23" s="20"/>
    </row>
    <row r="24" spans="2:13" s="22" customFormat="1" ht="18" customHeight="1" x14ac:dyDescent="0.3">
      <c r="B24" s="80" t="s">
        <v>74</v>
      </c>
      <c r="C24" s="80" t="s">
        <v>80</v>
      </c>
      <c r="D24" s="62">
        <f>(UVLOref-UVLOhys)*((ROVP+RUVLO+RIN)/(ROVP+RUVLO))</f>
        <v>4.6175740868366653</v>
      </c>
      <c r="E24" s="63" t="s">
        <v>6</v>
      </c>
      <c r="F24" s="18">
        <f>F22</f>
        <v>3.3778691508109075E-2</v>
      </c>
      <c r="G24" s="40"/>
      <c r="L24" s="23"/>
    </row>
    <row r="25" spans="2:13" ht="18" customHeight="1" x14ac:dyDescent="0.3">
      <c r="B25" s="81" t="s">
        <v>29</v>
      </c>
      <c r="C25" s="81" t="s">
        <v>40</v>
      </c>
      <c r="D25" s="64">
        <f>Vinmax*1000/(ROVP+RUVLO+RIN)</f>
        <v>78.804793958299129</v>
      </c>
      <c r="E25" s="59" t="s">
        <v>7</v>
      </c>
      <c r="F25" s="15"/>
    </row>
    <row r="26" spans="2:13" ht="18" customHeight="1" x14ac:dyDescent="0.3">
      <c r="B26" s="16"/>
      <c r="C26" s="16"/>
      <c r="D26" s="50"/>
      <c r="E26" s="13"/>
      <c r="F26" s="13"/>
    </row>
    <row r="27" spans="2:13" ht="28.5" customHeight="1" x14ac:dyDescent="0.3">
      <c r="B27" s="136" t="s">
        <v>78</v>
      </c>
      <c r="C27" s="136"/>
      <c r="D27" s="57"/>
      <c r="E27" s="41"/>
      <c r="F27" s="41"/>
    </row>
    <row r="28" spans="2:13" ht="18" customHeight="1" x14ac:dyDescent="0.3">
      <c r="B28" s="77" t="s">
        <v>44</v>
      </c>
      <c r="C28" s="77" t="s">
        <v>134</v>
      </c>
      <c r="D28" s="64">
        <f>MAX((6.636/(Ilimit)),7.5)</f>
        <v>7.540909090909091</v>
      </c>
      <c r="E28" s="59" t="s">
        <v>64</v>
      </c>
      <c r="F28" s="111">
        <v>0.01</v>
      </c>
      <c r="J28" s="3"/>
      <c r="K28" s="37"/>
      <c r="M28" s="1">
        <f>IF(D28&lt;10, D28*100, IF(AND(D28&gt;=10, D28&lt;100),D28*10,IF(AND(D28&gt;=100, D28&lt;1000), D28, IF(D28&gt;=1000, D28/10))))</f>
        <v>754.09090909090912</v>
      </c>
    </row>
    <row r="29" spans="2:13" ht="18" customHeight="1" x14ac:dyDescent="0.25">
      <c r="B29" s="78" t="s">
        <v>132</v>
      </c>
      <c r="C29" s="78"/>
      <c r="D29" s="65"/>
      <c r="E29" s="53"/>
      <c r="F29" s="14"/>
      <c r="J29" s="3"/>
      <c r="K29" s="37"/>
    </row>
    <row r="30" spans="2:13" ht="18" customHeight="1" x14ac:dyDescent="0.3">
      <c r="B30" s="79" t="s">
        <v>42</v>
      </c>
      <c r="C30" s="79" t="s">
        <v>117</v>
      </c>
      <c r="D30" s="116">
        <f>G30</f>
        <v>7.4999999999999991</v>
      </c>
      <c r="E30" s="59" t="s">
        <v>64</v>
      </c>
      <c r="F30" s="122">
        <f>F28</f>
        <v>0.01</v>
      </c>
      <c r="G30" s="48">
        <f>M30*D28/M28</f>
        <v>7.4999999999999991</v>
      </c>
      <c r="J30" s="3"/>
      <c r="K30" s="37"/>
      <c r="M30" s="1">
        <f>INDEX('Res EIA Tables'!E$5:E$196,MATCH(M28,'Res EIA Tables'!E$5:E$196))</f>
        <v>750</v>
      </c>
    </row>
    <row r="31" spans="2:13" s="19" customFormat="1" ht="18" customHeight="1" x14ac:dyDescent="0.25">
      <c r="B31" s="82" t="s">
        <v>79</v>
      </c>
      <c r="C31" s="82" t="s">
        <v>109</v>
      </c>
      <c r="D31" s="62">
        <f>6.636/Rilim</f>
        <v>0.88480000000000014</v>
      </c>
      <c r="E31" s="66" t="s">
        <v>4</v>
      </c>
      <c r="F31" s="21">
        <f>SQRT(M31^2+F30^2)</f>
        <v>5.0990195135927854E-2</v>
      </c>
      <c r="G31" s="39"/>
      <c r="J31" s="3"/>
      <c r="K31" s="37"/>
      <c r="L31" s="20"/>
      <c r="M31" s="95">
        <f>IF(Imax&lt;0.3, 0.12,0.05)</f>
        <v>0.05</v>
      </c>
    </row>
    <row r="32" spans="2:13" ht="18" customHeight="1" x14ac:dyDescent="0.25">
      <c r="B32" s="16"/>
      <c r="C32" s="16"/>
      <c r="D32" s="50"/>
      <c r="E32" s="13"/>
      <c r="F32" s="13"/>
    </row>
    <row r="33" spans="2:13" ht="9" customHeight="1" x14ac:dyDescent="0.3">
      <c r="B33" s="16"/>
      <c r="C33" s="16"/>
      <c r="D33" s="50"/>
      <c r="E33" s="13"/>
      <c r="F33" s="13"/>
    </row>
    <row r="34" spans="2:13" ht="31.2" customHeight="1" x14ac:dyDescent="0.3">
      <c r="B34" s="137" t="s">
        <v>89</v>
      </c>
      <c r="C34" s="137"/>
      <c r="D34" s="57"/>
      <c r="E34" s="41"/>
      <c r="F34" s="41"/>
    </row>
    <row r="35" spans="2:13" ht="18" customHeight="1" x14ac:dyDescent="0.3">
      <c r="B35" s="43" t="s">
        <v>0</v>
      </c>
      <c r="C35" s="43" t="s">
        <v>1</v>
      </c>
      <c r="D35" s="67" t="s">
        <v>2</v>
      </c>
      <c r="E35" s="42" t="s">
        <v>3</v>
      </c>
      <c r="F35" s="42" t="s">
        <v>30</v>
      </c>
    </row>
    <row r="36" spans="2:13" ht="18" customHeight="1" x14ac:dyDescent="0.3">
      <c r="B36" s="77" t="s">
        <v>90</v>
      </c>
      <c r="C36" s="77" t="s">
        <v>100</v>
      </c>
      <c r="D36" s="93">
        <f>0.664*Vinmax/24</f>
        <v>1.3280000000000001</v>
      </c>
      <c r="E36" s="59" t="s">
        <v>5</v>
      </c>
      <c r="F36" s="15"/>
    </row>
    <row r="37" spans="2:13" ht="18" customHeight="1" x14ac:dyDescent="0.3">
      <c r="B37" s="77" t="s">
        <v>91</v>
      </c>
      <c r="C37" s="77" t="s">
        <v>149</v>
      </c>
      <c r="D37" s="113">
        <f>(Cout*10^-3*OVset)/(Imax*0.1)</f>
        <v>14.099999999999998</v>
      </c>
      <c r="E37" s="59" t="s">
        <v>5</v>
      </c>
      <c r="F37" s="15"/>
    </row>
    <row r="38" spans="2:13" ht="18" customHeight="1" x14ac:dyDescent="0.25">
      <c r="B38" s="77" t="s">
        <v>114</v>
      </c>
      <c r="C38" s="77" t="s">
        <v>115</v>
      </c>
      <c r="D38" s="114">
        <f>Imax/10</f>
        <v>0.08</v>
      </c>
      <c r="E38" s="59" t="s">
        <v>4</v>
      </c>
      <c r="F38" s="15"/>
    </row>
    <row r="39" spans="2:13" ht="18" customHeight="1" x14ac:dyDescent="0.25">
      <c r="B39" s="79" t="s">
        <v>92</v>
      </c>
      <c r="C39" s="79" t="s">
        <v>93</v>
      </c>
      <c r="D39" s="118">
        <f>D37</f>
        <v>14.099999999999998</v>
      </c>
      <c r="E39" s="59" t="s">
        <v>5</v>
      </c>
      <c r="F39" s="15"/>
    </row>
    <row r="40" spans="2:13" ht="18" customHeight="1" x14ac:dyDescent="0.25">
      <c r="B40" s="79" t="s">
        <v>28</v>
      </c>
      <c r="C40" s="79" t="s">
        <v>94</v>
      </c>
      <c r="D40" s="116">
        <f>D38</f>
        <v>0.08</v>
      </c>
      <c r="E40" s="59" t="s">
        <v>4</v>
      </c>
      <c r="F40" s="15"/>
    </row>
    <row r="41" spans="2:13" ht="18" customHeight="1" x14ac:dyDescent="0.3">
      <c r="B41" s="77" t="s">
        <v>143</v>
      </c>
      <c r="C41" s="77" t="s">
        <v>95</v>
      </c>
      <c r="D41" s="87">
        <f>MAX(((Tstart_req*10^-3*Gain_dvdt*I_dvdt)/OVset),0.01)</f>
        <v>2.8615949999999998E-2</v>
      </c>
      <c r="E41" s="59" t="s">
        <v>97</v>
      </c>
      <c r="F41" s="111">
        <f>M41</f>
        <v>0.05</v>
      </c>
      <c r="M41" s="110">
        <f>IF(Cdvdt_cal1&lt;=0.1,0.05,0.1)</f>
        <v>0.05</v>
      </c>
    </row>
    <row r="42" spans="2:13" ht="18" customHeight="1" x14ac:dyDescent="0.3">
      <c r="B42" s="77" t="s">
        <v>144</v>
      </c>
      <c r="C42" s="77" t="s">
        <v>96</v>
      </c>
      <c r="D42" s="87">
        <f>MAX(((I_dvdt*Gain_dvdt*Cout*10^-6)/Icharge_req),0.01)</f>
        <v>2.8615950000000001E-2</v>
      </c>
      <c r="E42" s="59" t="s">
        <v>97</v>
      </c>
      <c r="F42" s="111">
        <v>0.05</v>
      </c>
      <c r="M42" s="110">
        <f>IF(Cdvdt_cal2&lt;=0.1,0.05,0.1)</f>
        <v>0.05</v>
      </c>
    </row>
    <row r="43" spans="2:13" ht="18" customHeight="1" x14ac:dyDescent="0.25">
      <c r="B43" s="78" t="s">
        <v>133</v>
      </c>
      <c r="C43" s="78"/>
      <c r="D43" s="60"/>
      <c r="E43" s="59"/>
      <c r="F43" s="15"/>
    </row>
    <row r="44" spans="2:13" ht="18" customHeight="1" x14ac:dyDescent="0.3">
      <c r="B44" s="79" t="s">
        <v>41</v>
      </c>
      <c r="C44" s="79" t="s">
        <v>118</v>
      </c>
      <c r="D44" s="119">
        <f>G44</f>
        <v>2.1999999999999999E-2</v>
      </c>
      <c r="E44" s="59" t="s">
        <v>97</v>
      </c>
      <c r="F44" s="117">
        <f>F41</f>
        <v>0.05</v>
      </c>
      <c r="G44" s="38">
        <f>INDEX('Cap Tables'!A3:A27,MATCH(MAX(Cdvdt_cal1,Cdvdt_cal2),'Cap Tables'!A3:A27))</f>
        <v>2.1999999999999999E-2</v>
      </c>
    </row>
    <row r="45" spans="2:13" s="19" customFormat="1" ht="18" customHeight="1" x14ac:dyDescent="0.25">
      <c r="B45" s="82" t="s">
        <v>102</v>
      </c>
      <c r="C45" s="82" t="s">
        <v>101</v>
      </c>
      <c r="D45" s="94">
        <f>((Cdvdt*10^3*OVset)/(I_dvdt*Gain_dvdt))</f>
        <v>10.840108401084009</v>
      </c>
      <c r="E45" s="66" t="s">
        <v>5</v>
      </c>
      <c r="F45" s="21">
        <f>SQRT(F72^2+F44^2+F73^2)</f>
        <v>0.18062391868188443</v>
      </c>
      <c r="G45" s="39"/>
      <c r="L45" s="20"/>
    </row>
    <row r="46" spans="2:13" s="19" customFormat="1" ht="18" customHeight="1" x14ac:dyDescent="0.25">
      <c r="B46" s="82" t="s">
        <v>103</v>
      </c>
      <c r="C46" s="82" t="s">
        <v>104</v>
      </c>
      <c r="D46" s="62">
        <f>(Cout*10^-6*OVset)/(Tdvdt*10^-3)</f>
        <v>0.10405800000000001</v>
      </c>
      <c r="E46" s="66" t="s">
        <v>4</v>
      </c>
      <c r="F46" s="15"/>
      <c r="G46" s="39"/>
      <c r="L46" s="20"/>
    </row>
    <row r="47" spans="2:13" ht="18" customHeight="1" x14ac:dyDescent="0.25">
      <c r="B47" s="16"/>
      <c r="C47" s="16"/>
      <c r="D47" s="50"/>
      <c r="E47" s="13"/>
      <c r="F47" s="13"/>
    </row>
    <row r="48" spans="2:13" ht="18" customHeight="1" x14ac:dyDescent="0.25">
      <c r="B48" s="136" t="s">
        <v>23</v>
      </c>
      <c r="C48" s="136"/>
      <c r="D48" s="136"/>
      <c r="E48" s="136"/>
      <c r="F48" s="41"/>
    </row>
    <row r="49" spans="2:6" ht="18" customHeight="1" x14ac:dyDescent="0.25">
      <c r="B49" s="77" t="s">
        <v>14</v>
      </c>
      <c r="C49" s="77" t="s">
        <v>135</v>
      </c>
      <c r="D49" s="64">
        <f>0.5*OVset*Icharge</f>
        <v>1.2486960000000003</v>
      </c>
      <c r="E49" s="53" t="s">
        <v>13</v>
      </c>
      <c r="F49" s="14"/>
    </row>
    <row r="50" spans="2:6" ht="18" customHeight="1" x14ac:dyDescent="0.25">
      <c r="B50" s="77" t="s">
        <v>24</v>
      </c>
      <c r="C50" s="77" t="s">
        <v>136</v>
      </c>
      <c r="D50" s="64">
        <f>(1/6)*(OVset^2)/RLstart</f>
        <v>0.96</v>
      </c>
      <c r="E50" s="59" t="s">
        <v>13</v>
      </c>
      <c r="F50" s="15"/>
    </row>
    <row r="51" spans="2:6" ht="18" customHeight="1" x14ac:dyDescent="0.3">
      <c r="B51" s="77" t="s">
        <v>25</v>
      </c>
      <c r="C51" s="77" t="s">
        <v>124</v>
      </c>
      <c r="D51" s="64">
        <f>D49+D50</f>
        <v>2.2086960000000002</v>
      </c>
      <c r="E51" s="59" t="s">
        <v>13</v>
      </c>
      <c r="F51" s="15"/>
    </row>
    <row r="52" spans="2:6" ht="15.6" x14ac:dyDescent="0.3">
      <c r="B52" s="77"/>
      <c r="C52" s="77" t="s">
        <v>137</v>
      </c>
      <c r="D52" s="64">
        <f>INDEX('Thermal Shutdown Limit Plot'!A3:A31,IF(Ta="TA = 25C", (MATCH(Tdvdt,'Thermal Shutdown Limit Plot'!C3:C31,-1)), IF(Ta="TA = 85C", (MATCH(Tdvdt, 'Thermal Shutdown Limit Plot'!D3:D31,-1)), IF(Ta="TA = 105C", (MATCH(Tdvdt,'Thermal Shutdown Limit Plot'!E3:E31,-1)),IF(Ta="TA = 125C", (MATCH(Tdvdt,'Thermal Shutdown Limit Plot'!F3:F31,-1)),0)))))</f>
        <v>10</v>
      </c>
      <c r="E52" s="59" t="s">
        <v>13</v>
      </c>
      <c r="F52" s="15"/>
    </row>
    <row r="53" spans="2:6" ht="15.6" x14ac:dyDescent="0.3">
      <c r="B53" s="77"/>
      <c r="C53" s="77" t="s">
        <v>122</v>
      </c>
      <c r="D53" s="115">
        <f>(D52-D51)*100/D51</f>
        <v>352.7558342116796</v>
      </c>
      <c r="E53" s="59" t="s">
        <v>123</v>
      </c>
      <c r="F53" s="15"/>
    </row>
    <row r="54" spans="2:6" ht="15.6" x14ac:dyDescent="0.3">
      <c r="B54" s="77"/>
      <c r="C54" s="83" t="s">
        <v>138</v>
      </c>
      <c r="D54" s="69" t="str">
        <f>IF(D51&lt;D52,"YES","NO")</f>
        <v>YES</v>
      </c>
      <c r="E54" s="59"/>
      <c r="F54" s="15"/>
    </row>
    <row r="55" spans="2:6" ht="18" customHeight="1" x14ac:dyDescent="0.3">
      <c r="B55" s="16"/>
      <c r="C55" s="16"/>
      <c r="D55" s="50"/>
      <c r="E55" s="13"/>
      <c r="F55" s="13"/>
    </row>
    <row r="56" spans="2:6" ht="18" customHeight="1" x14ac:dyDescent="0.3">
      <c r="B56" s="16"/>
      <c r="C56" s="16"/>
      <c r="D56" s="50"/>
      <c r="E56" s="13"/>
      <c r="F56" s="13"/>
    </row>
    <row r="57" spans="2:6" ht="20.25" customHeight="1" x14ac:dyDescent="0.3">
      <c r="B57" s="136" t="s">
        <v>22</v>
      </c>
      <c r="C57" s="136"/>
      <c r="D57" s="136"/>
      <c r="E57" s="136"/>
      <c r="F57" s="41"/>
    </row>
    <row r="58" spans="2:6" ht="18" customHeight="1" x14ac:dyDescent="0.3">
      <c r="B58" s="43" t="s">
        <v>0</v>
      </c>
      <c r="C58" s="43" t="s">
        <v>1</v>
      </c>
      <c r="D58" s="67" t="s">
        <v>2</v>
      </c>
      <c r="E58" s="42" t="s">
        <v>3</v>
      </c>
      <c r="F58" s="42" t="s">
        <v>30</v>
      </c>
    </row>
    <row r="59" spans="2:6" ht="18" customHeight="1" x14ac:dyDescent="0.3">
      <c r="B59" s="77" t="s">
        <v>16</v>
      </c>
      <c r="C59" s="77" t="s">
        <v>139</v>
      </c>
      <c r="D59" s="64">
        <f>Imax*Rdson_25deg</f>
        <v>416.8</v>
      </c>
      <c r="E59" s="53" t="s">
        <v>17</v>
      </c>
      <c r="F59" s="14"/>
    </row>
    <row r="60" spans="2:6" ht="18" customHeight="1" x14ac:dyDescent="0.3">
      <c r="B60" s="77" t="s">
        <v>18</v>
      </c>
      <c r="C60" s="77" t="s">
        <v>105</v>
      </c>
      <c r="D60" s="64">
        <f>Imax^2*Rdson_25deg</f>
        <v>333.44000000000005</v>
      </c>
      <c r="E60" s="53" t="s">
        <v>19</v>
      </c>
      <c r="F60" s="14"/>
    </row>
    <row r="61" spans="2:6" ht="18" customHeight="1" x14ac:dyDescent="0.3">
      <c r="B61" s="16"/>
      <c r="C61" s="16"/>
      <c r="D61" s="50"/>
      <c r="E61" s="13"/>
      <c r="F61" s="13"/>
    </row>
    <row r="62" spans="2:6" ht="18" customHeight="1" x14ac:dyDescent="0.3">
      <c r="B62" s="84" t="s">
        <v>15</v>
      </c>
      <c r="C62" s="16"/>
      <c r="D62" s="50"/>
      <c r="E62" s="13"/>
      <c r="F62" s="13"/>
    </row>
    <row r="63" spans="2:6" ht="18" customHeight="1" x14ac:dyDescent="0.3">
      <c r="B63" s="46" t="s">
        <v>0</v>
      </c>
      <c r="C63" s="46" t="s">
        <v>1</v>
      </c>
      <c r="D63" s="45" t="s">
        <v>2</v>
      </c>
      <c r="E63" s="44" t="s">
        <v>3</v>
      </c>
      <c r="F63" s="44" t="s">
        <v>30</v>
      </c>
    </row>
    <row r="64" spans="2:6" ht="18" customHeight="1" x14ac:dyDescent="0.3">
      <c r="B64" s="81" t="s">
        <v>11</v>
      </c>
      <c r="C64" s="81" t="s">
        <v>140</v>
      </c>
      <c r="D64" s="70">
        <v>521</v>
      </c>
      <c r="E64" s="53" t="s">
        <v>108</v>
      </c>
      <c r="F64" s="14"/>
    </row>
    <row r="65" spans="2:6" ht="18" customHeight="1" x14ac:dyDescent="0.3">
      <c r="B65" s="81" t="s">
        <v>12</v>
      </c>
      <c r="C65" s="81" t="s">
        <v>141</v>
      </c>
      <c r="D65" s="70">
        <v>685</v>
      </c>
      <c r="E65" s="53" t="s">
        <v>108</v>
      </c>
      <c r="F65" s="14"/>
    </row>
    <row r="66" spans="2:6" ht="18" customHeight="1" x14ac:dyDescent="0.3">
      <c r="B66" s="81" t="s">
        <v>86</v>
      </c>
      <c r="C66" s="81" t="s">
        <v>142</v>
      </c>
      <c r="D66" s="70">
        <v>800</v>
      </c>
      <c r="E66" s="53" t="s">
        <v>108</v>
      </c>
      <c r="F66" s="14"/>
    </row>
    <row r="67" spans="2:6" ht="18" customHeight="1" x14ac:dyDescent="0.3">
      <c r="B67" s="16"/>
      <c r="C67" s="16"/>
      <c r="D67" s="50"/>
      <c r="E67" s="17"/>
      <c r="F67" s="17"/>
    </row>
    <row r="68" spans="2:6" ht="18" customHeight="1" thickBot="1" x14ac:dyDescent="0.35">
      <c r="B68" s="84" t="s">
        <v>26</v>
      </c>
      <c r="C68" s="16"/>
      <c r="D68" s="50"/>
      <c r="E68" s="17"/>
      <c r="F68" s="17"/>
    </row>
    <row r="69" spans="2:6" ht="18" customHeight="1" x14ac:dyDescent="0.3">
      <c r="B69" s="98" t="s">
        <v>75</v>
      </c>
      <c r="C69" s="99" t="s">
        <v>68</v>
      </c>
      <c r="D69" s="100">
        <v>1.2030000000000001</v>
      </c>
      <c r="E69" s="101" t="s">
        <v>6</v>
      </c>
      <c r="F69" s="102">
        <v>2.9000000000000001E-2</v>
      </c>
    </row>
    <row r="70" spans="2:6" ht="18" customHeight="1" x14ac:dyDescent="0.3">
      <c r="B70" s="97" t="s">
        <v>77</v>
      </c>
      <c r="C70" s="81" t="s">
        <v>85</v>
      </c>
      <c r="D70" s="68">
        <v>0.10299999999999999</v>
      </c>
      <c r="E70" s="53" t="s">
        <v>6</v>
      </c>
      <c r="F70" s="24"/>
    </row>
    <row r="71" spans="2:6" ht="18" customHeight="1" x14ac:dyDescent="0.3">
      <c r="B71" s="97" t="s">
        <v>76</v>
      </c>
      <c r="C71" s="85" t="s">
        <v>87</v>
      </c>
      <c r="D71" s="68">
        <v>1.2030000000000001</v>
      </c>
      <c r="E71" s="53" t="s">
        <v>6</v>
      </c>
      <c r="F71" s="24">
        <v>2.9000000000000001E-2</v>
      </c>
    </row>
    <row r="72" spans="2:6" ht="18" customHeight="1" x14ac:dyDescent="0.3">
      <c r="B72" s="97" t="s">
        <v>82</v>
      </c>
      <c r="C72" s="85" t="s">
        <v>81</v>
      </c>
      <c r="D72" s="68">
        <v>1.98</v>
      </c>
      <c r="E72" s="53" t="s">
        <v>7</v>
      </c>
      <c r="F72" s="24">
        <v>0.17</v>
      </c>
    </row>
    <row r="73" spans="2:6" ht="18" customHeight="1" x14ac:dyDescent="0.3">
      <c r="B73" s="97" t="s">
        <v>83</v>
      </c>
      <c r="C73" s="85" t="s">
        <v>84</v>
      </c>
      <c r="D73" s="68">
        <v>24.6</v>
      </c>
      <c r="E73" s="53"/>
      <c r="F73" s="24">
        <v>3.5000000000000003E-2</v>
      </c>
    </row>
    <row r="74" spans="2:6" ht="18" customHeight="1" x14ac:dyDescent="0.3">
      <c r="B74" s="97" t="s">
        <v>106</v>
      </c>
      <c r="C74" s="81" t="s">
        <v>107</v>
      </c>
      <c r="D74" s="68">
        <v>0.66400000000000003</v>
      </c>
      <c r="E74" s="53" t="s">
        <v>5</v>
      </c>
      <c r="F74" s="24"/>
    </row>
  </sheetData>
  <sheetProtection password="DC5C" sheet="1" objects="1" scenarios="1"/>
  <protectedRanges>
    <protectedRange sqref="F8 F15 D5:D12 F19:F21 D15 D30 F30 D39:D40 D44 F44 D19:D21" name="Range1"/>
  </protectedRanges>
  <dataConsolidate/>
  <mergeCells count="4">
    <mergeCell ref="B27:C27"/>
    <mergeCell ref="B57:E57"/>
    <mergeCell ref="B48:E48"/>
    <mergeCell ref="B34:C34"/>
  </mergeCells>
  <conditionalFormatting sqref="D54">
    <cfRule type="cellIs" dxfId="1" priority="1" operator="equal">
      <formula>"YES"</formula>
    </cfRule>
    <cfRule type="cellIs" dxfId="0" priority="2" operator="equal">
      <formula>"NO"</formula>
    </cfRule>
  </conditionalFormatting>
  <dataValidations xWindow="818" yWindow="605" count="19">
    <dataValidation type="decimal" showErrorMessage="1" errorTitle="Error" error="Enter a value in the range from 0.01A to 2.23A" sqref="D40">
      <formula1>0.01</formula1>
      <formula2>2.23</formula2>
    </dataValidation>
    <dataValidation type="decimal" showErrorMessage="1" errorTitle="Error" error="Enter a value in the range from 4.2V to 55V" sqref="D6">
      <formula1>4.2</formula1>
      <formula2>55</formula2>
    </dataValidation>
    <dataValidation type="custom" showErrorMessage="1" errorTitle="Error" error="Enter a value greater than UVset and less than 55V" sqref="D7">
      <formula1>D7&gt;D6</formula1>
    </dataValidation>
    <dataValidation type="custom" allowBlank="1" showInputMessage="1" showErrorMessage="1" errorTitle="Error" error="Enter a value greater than (Vinmax / Maximum Load Current)" promptTitle="Tool Help" prompt="RLstart = Vinmax / Load Current during Start-up._x000a_If there is no load during startup, set RLstart to 1000" sqref="D10">
      <formula1>D10&gt;=(D5/D11)</formula1>
    </dataValidation>
    <dataValidation type="decimal" allowBlank="1" showErrorMessage="1" errorTitle="Error" error="Enter a value in the range from 4.5V to 57V" sqref="D5">
      <formula1>4.5</formula1>
      <formula2>57</formula2>
    </dataValidation>
    <dataValidation type="decimal" allowBlank="1" showInputMessage="1" showErrorMessage="1" errorTitle="Error" error="Enter a value in the range from 0.025A to 0.88A" sqref="D12">
      <formula1>0.025</formula1>
      <formula2>0.88</formula2>
    </dataValidation>
    <dataValidation type="custom" showErrorMessage="1" errorTitle="Error" error="CdVdT capacitor is not required if start-up time is less than or equal to default" sqref="D39">
      <formula1>D39&gt;D36</formula1>
    </dataValidation>
    <dataValidation allowBlank="1" showInputMessage="1" showErrorMessage="1" promptTitle="Tool Help" prompt="Increase R3_sel value if leakage current is not in the acceptable range" sqref="D25"/>
    <dataValidation allowBlank="1" showInputMessage="1" promptTitle="Tool Help" prompt="Increase either RLstart value or startup time (Tstart_reg) for glitch free startup" sqref="D54"/>
    <dataValidation type="decimal" operator="greaterThanOrEqual" allowBlank="1" showInputMessage="1" showErrorMessage="1" errorTitle="Error" error="Minimum 0.1uF output capacitance is required" sqref="D8">
      <formula1>0.1</formula1>
    </dataValidation>
    <dataValidation type="decimal" allowBlank="1" showInputMessage="1" showErrorMessage="1" errorTitle="Error" error="Enter a value in the range from 1k to 100k" sqref="D20">
      <formula1>1</formula1>
      <formula2>100</formula2>
    </dataValidation>
    <dataValidation type="decimal" allowBlank="1" showInputMessage="1" showErrorMessage="1" errorTitle="Error" error="Enter a value in the range from 5.36k to 120k" sqref="D30">
      <formula1>5.36</formula1>
      <formula2>120</formula2>
    </dataValidation>
    <dataValidation type="decimal" allowBlank="1" showInputMessage="1" showErrorMessage="1" errorTitle="Error" error="Enter a value in the range from 1k to 5M" sqref="D21">
      <formula1>1</formula1>
      <formula2>5000</formula2>
    </dataValidation>
    <dataValidation type="decimal" allowBlank="1" showInputMessage="1" showErrorMessage="1" error="Enter a value in the range from 0.01uF to 100uF" sqref="D44">
      <formula1>0.001</formula1>
      <formula2>100</formula2>
    </dataValidation>
    <dataValidation type="decimal" allowBlank="1" showInputMessage="1" showErrorMessage="1" errorTitle="Error" error="Enter a value in the range from 1k to 249k" sqref="D15 D19">
      <formula1>1</formula1>
      <formula2>249</formula2>
    </dataValidation>
    <dataValidation type="decimal" allowBlank="1" showInputMessage="1" showErrorMessage="1" errorTitle="Error" error="Enter a value in the range from 5% to 30%" sqref="F8">
      <formula1>0.05</formula1>
      <formula2>0.3</formula2>
    </dataValidation>
    <dataValidation type="decimal" allowBlank="1" showInputMessage="1" showErrorMessage="1" errorTitle="Error" error="Enter a value in the range from 0.1% to 10%" sqref="F15 F19:F21 F30">
      <formula1>0.001</formula1>
      <formula2>0.1</formula2>
    </dataValidation>
    <dataValidation type="decimal" allowBlank="1" showInputMessage="1" showErrorMessage="1" errorTitle="Error" error="Enter a value in the range from 2% to 20%" sqref="F44">
      <formula1>0.02</formula1>
      <formula2>0.2</formula2>
    </dataValidation>
    <dataValidation type="decimal" allowBlank="1" showInputMessage="1" showErrorMessage="1" errorTitle="Error" error="Enter a value in the range from 0.025A to 0.88A" sqref="D11">
      <formula1>0.025</formula1>
      <formula2>0.88</formula2>
    </dataValidation>
  </dataValidations>
  <pageMargins left="0.7" right="0.7" top="0.75" bottom="0.75" header="0.3" footer="0.3"/>
  <pageSetup orientation="portrait" r:id="rId1"/>
  <ignoredErrors>
    <ignoredError sqref="D19:D21 D30 D39:D40 F19:F21 F30 F44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xWindow="818" yWindow="605" count="1">
        <x14:dataValidation type="list" allowBlank="1" showInputMessage="1" showErrorMessage="1" errorTitle="Error" error="Select a value in the range from 25degC to 125degC">
          <x14:formula1>
            <xm:f>'Thermal Shutdown Limit Plot'!$C$2:$F$2</xm:f>
          </x14:formula1>
          <xm:sqref>D9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U107"/>
  <sheetViews>
    <sheetView showGridLines="0" tabSelected="1" zoomScale="70" zoomScaleNormal="70" workbookViewId="0">
      <selection activeCell="D38" sqref="D38"/>
    </sheetView>
  </sheetViews>
  <sheetFormatPr defaultColWidth="9.109375" defaultRowHeight="14.4" x14ac:dyDescent="0.3"/>
  <cols>
    <col min="1" max="1" width="22.33203125" style="6" customWidth="1"/>
    <col min="2" max="2" width="14.33203125" style="6" bestFit="1" customWidth="1"/>
    <col min="3" max="3" width="16.5546875" style="6" customWidth="1"/>
    <col min="4" max="5" width="15.5546875" style="6" customWidth="1"/>
    <col min="6" max="6" width="12.44140625" style="27" customWidth="1"/>
    <col min="7" max="7" width="9.109375" style="27" customWidth="1"/>
    <col min="8" max="8" width="13.88671875" style="27" customWidth="1"/>
    <col min="9" max="16384" width="9.109375" style="27"/>
  </cols>
  <sheetData>
    <row r="1" spans="1:14" ht="15" thickBot="1" x14ac:dyDescent="0.35">
      <c r="A1" s="120" t="s">
        <v>146</v>
      </c>
      <c r="B1" s="26"/>
      <c r="C1" s="26"/>
      <c r="D1" s="26"/>
      <c r="E1" s="49"/>
      <c r="H1" s="28" t="s">
        <v>46</v>
      </c>
      <c r="J1" s="25" t="s">
        <v>45</v>
      </c>
      <c r="K1" s="29"/>
      <c r="L1" s="29"/>
      <c r="M1" s="29"/>
      <c r="N1" s="29"/>
    </row>
    <row r="2" spans="1:14" ht="15.75" thickBot="1" x14ac:dyDescent="0.3">
      <c r="A2" s="30" t="s">
        <v>147</v>
      </c>
      <c r="B2" s="31" t="s">
        <v>125</v>
      </c>
      <c r="C2" s="31" t="s">
        <v>126</v>
      </c>
      <c r="D2" s="31" t="s">
        <v>127</v>
      </c>
      <c r="E2" s="31" t="s">
        <v>128</v>
      </c>
      <c r="F2" s="31" t="s">
        <v>129</v>
      </c>
      <c r="J2" s="32"/>
    </row>
    <row r="3" spans="1:14" ht="15" x14ac:dyDescent="0.25">
      <c r="A3" s="123">
        <v>1</v>
      </c>
      <c r="B3" s="126">
        <v>100000</v>
      </c>
      <c r="C3" s="126">
        <v>100000</v>
      </c>
      <c r="D3" s="126">
        <v>100000</v>
      </c>
      <c r="E3" s="126">
        <v>100000</v>
      </c>
      <c r="F3" s="127">
        <v>100000</v>
      </c>
      <c r="H3" s="34" t="s">
        <v>47</v>
      </c>
      <c r="I3" s="27" t="s">
        <v>48</v>
      </c>
      <c r="J3" s="35" t="s">
        <v>49</v>
      </c>
    </row>
    <row r="4" spans="1:14" ht="15" x14ac:dyDescent="0.25">
      <c r="A4" s="124">
        <v>1.5</v>
      </c>
      <c r="B4" s="128">
        <v>100000</v>
      </c>
      <c r="C4" s="128">
        <v>100000</v>
      </c>
      <c r="D4" s="128">
        <v>100000</v>
      </c>
      <c r="E4" s="128">
        <v>100000</v>
      </c>
      <c r="F4" s="129">
        <v>100000</v>
      </c>
      <c r="I4" s="27" t="s">
        <v>50</v>
      </c>
      <c r="J4" s="35" t="s">
        <v>51</v>
      </c>
    </row>
    <row r="5" spans="1:14" ht="15" x14ac:dyDescent="0.25">
      <c r="A5" s="124">
        <v>2</v>
      </c>
      <c r="B5" s="128">
        <v>100000</v>
      </c>
      <c r="C5" s="128">
        <v>100000</v>
      </c>
      <c r="D5" s="128">
        <v>100000</v>
      </c>
      <c r="E5" s="130">
        <v>100000</v>
      </c>
      <c r="F5" s="129">
        <v>1400</v>
      </c>
      <c r="J5" s="35"/>
    </row>
    <row r="6" spans="1:14" ht="15" x14ac:dyDescent="0.25">
      <c r="A6" s="124">
        <v>2.25</v>
      </c>
      <c r="B6" s="128">
        <v>100000</v>
      </c>
      <c r="C6" s="128">
        <v>100000</v>
      </c>
      <c r="D6" s="128">
        <v>100000</v>
      </c>
      <c r="E6" s="128">
        <v>100000</v>
      </c>
      <c r="F6" s="129">
        <v>580</v>
      </c>
      <c r="J6" s="32"/>
    </row>
    <row r="7" spans="1:14" ht="15" x14ac:dyDescent="0.25">
      <c r="A7" s="124">
        <v>2.5</v>
      </c>
      <c r="B7" s="128">
        <v>100000</v>
      </c>
      <c r="C7" s="128">
        <v>100000</v>
      </c>
      <c r="D7" s="128">
        <v>100000</v>
      </c>
      <c r="E7" s="128">
        <v>9445.3799999999992</v>
      </c>
      <c r="F7" s="129">
        <v>342</v>
      </c>
      <c r="J7" s="32"/>
    </row>
    <row r="8" spans="1:14" ht="15" x14ac:dyDescent="0.25">
      <c r="A8" s="124">
        <v>2.75</v>
      </c>
      <c r="B8" s="128">
        <v>100000</v>
      </c>
      <c r="C8" s="128">
        <v>100000</v>
      </c>
      <c r="D8" s="128">
        <v>100000</v>
      </c>
      <c r="E8" s="128">
        <v>2880.97</v>
      </c>
      <c r="F8" s="129">
        <v>229</v>
      </c>
      <c r="H8" s="36"/>
      <c r="J8" s="36"/>
    </row>
    <row r="9" spans="1:14" ht="15" x14ac:dyDescent="0.25">
      <c r="A9" s="124">
        <v>3</v>
      </c>
      <c r="B9" s="128">
        <v>100000</v>
      </c>
      <c r="C9" s="128">
        <v>100000</v>
      </c>
      <c r="D9" s="128">
        <v>100000</v>
      </c>
      <c r="E9" s="131">
        <v>1240.875</v>
      </c>
      <c r="F9" s="129">
        <v>161</v>
      </c>
      <c r="J9" s="36"/>
    </row>
    <row r="10" spans="1:14" ht="15" x14ac:dyDescent="0.25">
      <c r="A10" s="124">
        <v>4</v>
      </c>
      <c r="B10" s="128">
        <v>100000</v>
      </c>
      <c r="C10" s="128">
        <v>100000</v>
      </c>
      <c r="D10" s="128">
        <v>832.89</v>
      </c>
      <c r="E10" s="131">
        <v>185.68625</v>
      </c>
      <c r="F10" s="129">
        <v>41.8</v>
      </c>
    </row>
    <row r="11" spans="1:14" ht="15" x14ac:dyDescent="0.25">
      <c r="A11" s="124">
        <v>5</v>
      </c>
      <c r="B11" s="128">
        <v>100000</v>
      </c>
      <c r="C11" s="128">
        <v>4914.0249999999996</v>
      </c>
      <c r="D11" s="128">
        <v>215.88</v>
      </c>
      <c r="E11" s="131">
        <v>67.3005</v>
      </c>
      <c r="F11" s="129">
        <v>17.774000000000001</v>
      </c>
    </row>
    <row r="12" spans="1:14" ht="15" x14ac:dyDescent="0.25">
      <c r="A12" s="124">
        <v>6</v>
      </c>
      <c r="B12" s="128">
        <v>100000</v>
      </c>
      <c r="C12" s="128">
        <v>949.1</v>
      </c>
      <c r="D12" s="128">
        <v>98.593999999999994</v>
      </c>
      <c r="E12" s="131">
        <v>31.062950000000001</v>
      </c>
      <c r="F12" s="129">
        <v>8.5526</v>
      </c>
    </row>
    <row r="13" spans="1:14" ht="15" x14ac:dyDescent="0.25">
      <c r="A13" s="124">
        <v>6.5</v>
      </c>
      <c r="B13" s="128">
        <v>100000</v>
      </c>
      <c r="C13" s="128">
        <v>579.62699999999995</v>
      </c>
      <c r="D13" s="128">
        <v>70.373999999999995</v>
      </c>
      <c r="E13" s="131">
        <v>22.368749999999999</v>
      </c>
      <c r="F13" s="129">
        <v>6.367</v>
      </c>
    </row>
    <row r="14" spans="1:14" ht="15" x14ac:dyDescent="0.25">
      <c r="A14" s="124">
        <v>7</v>
      </c>
      <c r="B14" s="128">
        <v>100000</v>
      </c>
      <c r="C14" s="128">
        <v>394.88600000000002</v>
      </c>
      <c r="D14" s="128">
        <v>51.864800000000002</v>
      </c>
      <c r="E14" s="131">
        <v>16.783865000000006</v>
      </c>
      <c r="F14" s="129">
        <v>5.0902200000000004</v>
      </c>
    </row>
    <row r="15" spans="1:14" ht="15" x14ac:dyDescent="0.25">
      <c r="A15" s="124">
        <v>7.25</v>
      </c>
      <c r="B15" s="128">
        <v>100000</v>
      </c>
      <c r="C15" s="128">
        <v>335.97899999999998</v>
      </c>
      <c r="D15" s="128">
        <v>44.392000000000003</v>
      </c>
      <c r="E15" s="131">
        <v>14.756244999999996</v>
      </c>
      <c r="F15" s="129">
        <v>4.8776599999999997</v>
      </c>
    </row>
    <row r="16" spans="1:14" ht="15" x14ac:dyDescent="0.25">
      <c r="A16" s="124">
        <v>7.5</v>
      </c>
      <c r="B16" s="128">
        <v>100000</v>
      </c>
      <c r="C16" s="128">
        <v>284.75299999999999</v>
      </c>
      <c r="D16" s="128">
        <v>38.24</v>
      </c>
      <c r="E16" s="131">
        <v>12.8507</v>
      </c>
      <c r="F16" s="129">
        <v>4.3875999999999999</v>
      </c>
    </row>
    <row r="17" spans="1:6" ht="15" x14ac:dyDescent="0.25">
      <c r="A17" s="124">
        <v>7.75</v>
      </c>
      <c r="B17" s="128">
        <v>8503.8952000000008</v>
      </c>
      <c r="C17" s="128">
        <v>249.22399999999999</v>
      </c>
      <c r="D17" s="128">
        <v>33.07</v>
      </c>
      <c r="E17" s="131">
        <v>11.280774999999998</v>
      </c>
      <c r="F17" s="129">
        <v>4.0176999999999996</v>
      </c>
    </row>
    <row r="18" spans="1:6" ht="15" x14ac:dyDescent="0.25">
      <c r="A18" s="124">
        <v>8</v>
      </c>
      <c r="B18" s="128">
        <v>4840.6873999999998</v>
      </c>
      <c r="C18" s="128">
        <v>215.779</v>
      </c>
      <c r="D18" s="128">
        <v>29.013000000000002</v>
      </c>
      <c r="E18" s="131">
        <v>10.020600000000002</v>
      </c>
      <c r="F18" s="129">
        <v>3.6898</v>
      </c>
    </row>
    <row r="19" spans="1:6" ht="15" x14ac:dyDescent="0.25">
      <c r="A19" s="124">
        <v>9</v>
      </c>
      <c r="B19" s="128">
        <v>1097.6738</v>
      </c>
      <c r="C19" s="128">
        <v>147.5472</v>
      </c>
      <c r="D19" s="128">
        <v>17.454999999999998</v>
      </c>
      <c r="E19" s="131">
        <v>6.4794249999999991</v>
      </c>
      <c r="F19" s="129">
        <v>2.8209</v>
      </c>
    </row>
    <row r="20" spans="1:6" ht="15" x14ac:dyDescent="0.25">
      <c r="A20" s="124">
        <v>10</v>
      </c>
      <c r="B20" s="128">
        <v>499.10669999999999</v>
      </c>
      <c r="C20" s="128">
        <v>92.871949999999998</v>
      </c>
      <c r="D20" s="128">
        <v>11.372</v>
      </c>
      <c r="E20" s="131">
        <v>4.5218749999999996</v>
      </c>
      <c r="F20" s="129">
        <v>2.2385000000000002</v>
      </c>
    </row>
    <row r="21" spans="1:6" ht="15" x14ac:dyDescent="0.25">
      <c r="A21" s="124">
        <v>12</v>
      </c>
      <c r="B21" s="128">
        <v>208.607</v>
      </c>
      <c r="C21" s="128">
        <v>44.1004</v>
      </c>
      <c r="D21" s="128">
        <v>6.1650999999999998</v>
      </c>
      <c r="E21" s="131">
        <v>2.7402250000000006</v>
      </c>
      <c r="F21" s="129">
        <v>1.5986</v>
      </c>
    </row>
    <row r="22" spans="1:6" ht="15" x14ac:dyDescent="0.25">
      <c r="A22" s="124">
        <v>14</v>
      </c>
      <c r="B22" s="128">
        <v>111.63979999999999</v>
      </c>
      <c r="C22" s="130">
        <v>22.969200000000001</v>
      </c>
      <c r="D22" s="130">
        <v>3.9156</v>
      </c>
      <c r="E22" s="131">
        <v>1.8818999999999999</v>
      </c>
      <c r="F22" s="129">
        <v>1.204</v>
      </c>
    </row>
    <row r="23" spans="1:6" ht="15" x14ac:dyDescent="0.25">
      <c r="A23" s="124">
        <v>16</v>
      </c>
      <c r="B23" s="128">
        <v>54.177791999999997</v>
      </c>
      <c r="C23" s="128">
        <v>13.210100000000001</v>
      </c>
      <c r="D23" s="128">
        <v>2.8209</v>
      </c>
      <c r="E23" s="131">
        <v>1.4326890000000001</v>
      </c>
      <c r="F23" s="129">
        <v>0.96995200000000004</v>
      </c>
    </row>
    <row r="24" spans="1:6" ht="15" x14ac:dyDescent="0.25">
      <c r="A24" s="124">
        <v>18</v>
      </c>
      <c r="B24" s="128">
        <v>32.23048</v>
      </c>
      <c r="C24" s="128">
        <v>8.1564999999999994</v>
      </c>
      <c r="D24" s="128">
        <v>2.1941000000000002</v>
      </c>
      <c r="E24" s="131">
        <v>1.1533069999999999</v>
      </c>
      <c r="F24" s="129">
        <v>0.80637599999999998</v>
      </c>
    </row>
    <row r="25" spans="1:6" ht="15" x14ac:dyDescent="0.25">
      <c r="A25" s="124">
        <v>20</v>
      </c>
      <c r="B25" s="128">
        <v>23.531379999999999</v>
      </c>
      <c r="C25" s="128">
        <v>5.7961</v>
      </c>
      <c r="D25" s="128">
        <v>1.7647699999999999</v>
      </c>
      <c r="E25" s="131">
        <v>0.96289249999999993</v>
      </c>
      <c r="F25" s="129">
        <v>0.6956</v>
      </c>
    </row>
    <row r="26" spans="1:6" ht="15" x14ac:dyDescent="0.25">
      <c r="A26" s="124">
        <v>25</v>
      </c>
      <c r="B26" s="128">
        <v>9.9240600000000008</v>
      </c>
      <c r="C26" s="128">
        <v>3.0185499999999998</v>
      </c>
      <c r="D26" s="128">
        <v>1.155</v>
      </c>
      <c r="E26" s="131">
        <v>0.67730999999999997</v>
      </c>
      <c r="F26" s="129">
        <v>0.51807999999999998</v>
      </c>
    </row>
    <row r="27" spans="1:6" ht="15" x14ac:dyDescent="0.25">
      <c r="A27" s="124">
        <v>30</v>
      </c>
      <c r="B27" s="128">
        <v>6.0134610000000004</v>
      </c>
      <c r="C27" s="128">
        <v>2.1153599999999999</v>
      </c>
      <c r="D27" s="128">
        <v>0.92127199999999998</v>
      </c>
      <c r="E27" s="131">
        <v>0.6075124999999999</v>
      </c>
      <c r="F27" s="129">
        <v>0.50292599999999998</v>
      </c>
    </row>
    <row r="28" spans="1:6" ht="15" x14ac:dyDescent="0.25">
      <c r="A28" s="124">
        <v>35</v>
      </c>
      <c r="B28" s="128">
        <v>3.8107500000000001</v>
      </c>
      <c r="C28" s="128">
        <v>1.5157</v>
      </c>
      <c r="D28" s="128">
        <v>0.72171200000000002</v>
      </c>
      <c r="E28" s="131">
        <v>0.48437449999999999</v>
      </c>
      <c r="F28" s="129">
        <v>0.40526200000000001</v>
      </c>
    </row>
    <row r="29" spans="1:6" ht="15" x14ac:dyDescent="0.25">
      <c r="A29" s="124">
        <v>40</v>
      </c>
      <c r="B29" s="128">
        <v>2.821126</v>
      </c>
      <c r="C29" s="128">
        <v>1.1907700000000001</v>
      </c>
      <c r="D29" s="128">
        <v>0.60058400000000001</v>
      </c>
      <c r="E29" s="131">
        <v>0.41217500000000001</v>
      </c>
      <c r="F29" s="129">
        <v>0.34937200000000002</v>
      </c>
    </row>
    <row r="30" spans="1:6" ht="15" x14ac:dyDescent="0.25">
      <c r="A30" s="124">
        <v>45</v>
      </c>
      <c r="B30" s="128">
        <v>2.2305450000000002</v>
      </c>
      <c r="C30" s="128">
        <v>0.96432799999999996</v>
      </c>
      <c r="D30" s="128">
        <v>0.523312</v>
      </c>
      <c r="E30" s="131">
        <v>0.35989599999999999</v>
      </c>
      <c r="F30" s="129">
        <v>0.30542399999999997</v>
      </c>
    </row>
    <row r="31" spans="1:6" ht="15.75" thickBot="1" x14ac:dyDescent="0.3">
      <c r="A31" s="125">
        <v>48</v>
      </c>
      <c r="B31" s="132">
        <v>1.9591970000000001</v>
      </c>
      <c r="C31" s="132">
        <v>0.93799999999999994</v>
      </c>
      <c r="D31" s="132">
        <v>0.51</v>
      </c>
      <c r="E31" s="133">
        <v>0.3414585</v>
      </c>
      <c r="F31" s="134">
        <v>0.28527799999999998</v>
      </c>
    </row>
    <row r="32" spans="1:6" ht="15.75" thickTop="1" x14ac:dyDescent="0.25">
      <c r="A32" s="33"/>
      <c r="B32" s="33"/>
      <c r="C32" s="33"/>
      <c r="D32" s="33"/>
      <c r="E32" s="33"/>
      <c r="F32" s="33"/>
    </row>
    <row r="33" spans="1:21" ht="15" x14ac:dyDescent="0.25">
      <c r="A33" s="33"/>
      <c r="B33" s="33"/>
      <c r="C33" s="33"/>
      <c r="D33" s="33"/>
      <c r="E33" s="33"/>
      <c r="F33" s="33"/>
    </row>
    <row r="34" spans="1:21" ht="15" x14ac:dyDescent="0.25">
      <c r="A34" s="33"/>
      <c r="B34" s="33"/>
      <c r="C34" s="33"/>
      <c r="D34" s="33"/>
      <c r="E34" s="33"/>
      <c r="F34" s="33"/>
    </row>
    <row r="35" spans="1:21" ht="15" x14ac:dyDescent="0.25">
      <c r="A35" s="33"/>
      <c r="B35" s="33"/>
      <c r="C35" s="33"/>
      <c r="D35" s="33"/>
      <c r="E35" s="33"/>
      <c r="F35" s="33"/>
    </row>
    <row r="36" spans="1:21" ht="15" x14ac:dyDescent="0.25">
      <c r="A36" s="27"/>
      <c r="B36" s="33"/>
      <c r="C36" s="33"/>
      <c r="D36" s="33"/>
      <c r="E36" s="33"/>
      <c r="F36" s="33"/>
    </row>
    <row r="37" spans="1:21" ht="15" x14ac:dyDescent="0.25">
      <c r="A37" s="27"/>
      <c r="B37" s="33"/>
      <c r="C37" s="33"/>
      <c r="D37" s="33"/>
      <c r="E37" s="33"/>
    </row>
    <row r="38" spans="1:21" ht="15" x14ac:dyDescent="0.25">
      <c r="A38" s="27"/>
      <c r="B38" s="33"/>
      <c r="C38" s="33"/>
      <c r="D38" s="33"/>
      <c r="E38" s="33"/>
    </row>
    <row r="39" spans="1:21" x14ac:dyDescent="0.3">
      <c r="A39" s="27"/>
      <c r="B39" s="33"/>
      <c r="C39" s="33"/>
      <c r="D39" s="33"/>
      <c r="E39" s="33"/>
    </row>
    <row r="40" spans="1:21" ht="19.8" x14ac:dyDescent="0.35">
      <c r="A40" s="27"/>
      <c r="B40" s="33"/>
      <c r="C40" s="33"/>
      <c r="D40" s="33"/>
      <c r="E40" s="33"/>
      <c r="H40" s="138" t="s">
        <v>151</v>
      </c>
      <c r="I40" s="138"/>
      <c r="J40" s="138"/>
      <c r="K40" s="138"/>
      <c r="L40" s="138"/>
      <c r="M40" s="138"/>
      <c r="N40" s="138"/>
      <c r="O40" s="138"/>
      <c r="P40" s="138"/>
      <c r="Q40" s="138"/>
      <c r="R40" s="138"/>
      <c r="S40" s="138"/>
      <c r="T40" s="138"/>
      <c r="U40" s="138"/>
    </row>
    <row r="41" spans="1:21" x14ac:dyDescent="0.3">
      <c r="A41" s="27"/>
      <c r="B41" s="33"/>
      <c r="C41" s="33"/>
      <c r="D41" s="33"/>
      <c r="E41" s="33"/>
    </row>
    <row r="42" spans="1:21" x14ac:dyDescent="0.3">
      <c r="A42" s="27"/>
      <c r="B42" s="33"/>
      <c r="C42" s="33"/>
      <c r="D42" s="33"/>
      <c r="E42" s="33"/>
    </row>
    <row r="43" spans="1:21" x14ac:dyDescent="0.3">
      <c r="A43" s="27"/>
      <c r="B43" s="33"/>
      <c r="C43" s="33"/>
      <c r="D43" s="33"/>
      <c r="E43" s="33"/>
    </row>
    <row r="44" spans="1:21" x14ac:dyDescent="0.3">
      <c r="A44" s="27"/>
      <c r="B44" s="33"/>
      <c r="C44" s="33"/>
      <c r="D44" s="33"/>
      <c r="E44" s="33"/>
    </row>
    <row r="45" spans="1:21" x14ac:dyDescent="0.3">
      <c r="A45" s="27"/>
      <c r="B45" s="33"/>
      <c r="C45" s="33"/>
      <c r="D45" s="33"/>
      <c r="E45" s="33"/>
    </row>
    <row r="46" spans="1:21" x14ac:dyDescent="0.3">
      <c r="A46" s="27"/>
      <c r="B46" s="33"/>
      <c r="C46" s="33"/>
      <c r="D46" s="33"/>
      <c r="E46" s="33"/>
    </row>
    <row r="47" spans="1:21" x14ac:dyDescent="0.3">
      <c r="A47" s="27"/>
      <c r="B47" s="33"/>
      <c r="C47" s="33"/>
      <c r="D47" s="33"/>
      <c r="E47" s="33"/>
    </row>
    <row r="48" spans="1:21" x14ac:dyDescent="0.3">
      <c r="A48" s="27"/>
      <c r="B48" s="33"/>
      <c r="C48" s="33"/>
      <c r="D48" s="33"/>
      <c r="E48" s="33"/>
    </row>
    <row r="49" spans="1:5" x14ac:dyDescent="0.3">
      <c r="A49" s="27"/>
      <c r="B49" s="33"/>
      <c r="C49" s="33"/>
      <c r="D49" s="33"/>
      <c r="E49" s="33"/>
    </row>
    <row r="50" spans="1:5" x14ac:dyDescent="0.3">
      <c r="A50" s="27"/>
      <c r="B50" s="33"/>
      <c r="C50" s="33"/>
      <c r="D50" s="33"/>
      <c r="E50" s="33"/>
    </row>
    <row r="51" spans="1:5" x14ac:dyDescent="0.3">
      <c r="A51" s="27"/>
      <c r="B51" s="33"/>
      <c r="C51" s="33"/>
      <c r="D51" s="33"/>
      <c r="E51" s="33"/>
    </row>
    <row r="52" spans="1:5" x14ac:dyDescent="0.3">
      <c r="A52" s="27"/>
      <c r="B52" s="33"/>
      <c r="C52" s="33"/>
      <c r="D52" s="33"/>
      <c r="E52" s="33"/>
    </row>
    <row r="53" spans="1:5" x14ac:dyDescent="0.3">
      <c r="A53" s="27"/>
      <c r="B53" s="33"/>
      <c r="C53" s="33"/>
      <c r="D53" s="33"/>
      <c r="E53" s="33"/>
    </row>
    <row r="54" spans="1:5" x14ac:dyDescent="0.3">
      <c r="A54" s="27"/>
      <c r="B54" s="33"/>
      <c r="C54" s="33"/>
      <c r="D54" s="33"/>
      <c r="E54" s="33"/>
    </row>
    <row r="55" spans="1:5" x14ac:dyDescent="0.3">
      <c r="A55" s="27"/>
      <c r="B55" s="33"/>
      <c r="C55" s="33"/>
      <c r="D55" s="33"/>
      <c r="E55" s="33"/>
    </row>
    <row r="56" spans="1:5" x14ac:dyDescent="0.3">
      <c r="A56" s="27"/>
      <c r="B56" s="33"/>
      <c r="C56" s="33"/>
      <c r="D56" s="33"/>
      <c r="E56" s="33"/>
    </row>
    <row r="57" spans="1:5" x14ac:dyDescent="0.3">
      <c r="A57" s="27"/>
      <c r="B57" s="33"/>
      <c r="C57" s="33"/>
      <c r="D57" s="33"/>
      <c r="E57" s="33"/>
    </row>
    <row r="58" spans="1:5" x14ac:dyDescent="0.3">
      <c r="A58" s="27"/>
      <c r="B58" s="33"/>
      <c r="C58" s="33"/>
      <c r="D58" s="33"/>
      <c r="E58" s="33"/>
    </row>
    <row r="59" spans="1:5" x14ac:dyDescent="0.3">
      <c r="A59" s="27"/>
      <c r="B59" s="33"/>
      <c r="C59" s="33"/>
      <c r="D59" s="33"/>
      <c r="E59" s="33"/>
    </row>
    <row r="60" spans="1:5" x14ac:dyDescent="0.3">
      <c r="A60" s="27"/>
      <c r="B60" s="33"/>
      <c r="C60" s="33"/>
      <c r="D60" s="33"/>
      <c r="E60" s="33"/>
    </row>
    <row r="61" spans="1:5" x14ac:dyDescent="0.3">
      <c r="A61" s="27"/>
      <c r="B61" s="33"/>
      <c r="C61" s="33"/>
      <c r="D61" s="33"/>
      <c r="E61" s="33"/>
    </row>
    <row r="62" spans="1:5" x14ac:dyDescent="0.3">
      <c r="A62" s="27"/>
      <c r="B62" s="33"/>
      <c r="C62" s="33"/>
      <c r="D62" s="33"/>
      <c r="E62" s="33"/>
    </row>
    <row r="63" spans="1:5" x14ac:dyDescent="0.3">
      <c r="A63" s="27"/>
      <c r="B63" s="33"/>
      <c r="C63" s="33"/>
      <c r="D63" s="33"/>
      <c r="E63" s="33"/>
    </row>
    <row r="64" spans="1:5" x14ac:dyDescent="0.3">
      <c r="A64" s="27"/>
      <c r="B64" s="33"/>
      <c r="C64" s="33"/>
      <c r="D64" s="33"/>
      <c r="E64" s="33"/>
    </row>
    <row r="65" spans="1:5" x14ac:dyDescent="0.3">
      <c r="A65" s="27"/>
      <c r="B65" s="33"/>
      <c r="C65" s="33"/>
      <c r="D65" s="33"/>
      <c r="E65" s="33"/>
    </row>
    <row r="66" spans="1:5" x14ac:dyDescent="0.3">
      <c r="A66" s="27"/>
      <c r="B66" s="33"/>
      <c r="C66" s="33"/>
      <c r="D66" s="33"/>
      <c r="E66" s="33"/>
    </row>
    <row r="67" spans="1:5" x14ac:dyDescent="0.3">
      <c r="A67" s="27"/>
      <c r="B67" s="33"/>
      <c r="C67" s="33"/>
      <c r="D67" s="33"/>
      <c r="E67" s="33"/>
    </row>
    <row r="68" spans="1:5" x14ac:dyDescent="0.3">
      <c r="A68" s="27"/>
      <c r="B68" s="33"/>
      <c r="C68" s="33"/>
      <c r="D68" s="33"/>
      <c r="E68" s="33"/>
    </row>
    <row r="69" spans="1:5" x14ac:dyDescent="0.3">
      <c r="A69" s="27"/>
      <c r="B69" s="33"/>
      <c r="C69" s="33"/>
      <c r="D69" s="33"/>
      <c r="E69" s="33"/>
    </row>
    <row r="70" spans="1:5" x14ac:dyDescent="0.3">
      <c r="A70" s="27"/>
      <c r="B70" s="33"/>
      <c r="C70" s="33"/>
      <c r="D70" s="33"/>
      <c r="E70" s="33"/>
    </row>
    <row r="71" spans="1:5" x14ac:dyDescent="0.3">
      <c r="A71" s="27"/>
      <c r="B71" s="33"/>
      <c r="C71" s="33"/>
      <c r="D71" s="33"/>
      <c r="E71" s="33"/>
    </row>
    <row r="72" spans="1:5" x14ac:dyDescent="0.3">
      <c r="A72" s="27"/>
      <c r="B72" s="33"/>
      <c r="C72" s="33"/>
      <c r="D72" s="33"/>
      <c r="E72" s="33"/>
    </row>
    <row r="73" spans="1:5" x14ac:dyDescent="0.3">
      <c r="A73" s="27"/>
      <c r="B73" s="33"/>
      <c r="C73" s="33"/>
      <c r="D73" s="33"/>
      <c r="E73" s="33"/>
    </row>
    <row r="74" spans="1:5" x14ac:dyDescent="0.3">
      <c r="A74" s="27"/>
      <c r="B74" s="33"/>
      <c r="C74" s="33"/>
      <c r="D74" s="33"/>
      <c r="E74" s="33"/>
    </row>
    <row r="75" spans="1:5" x14ac:dyDescent="0.3">
      <c r="A75" s="27"/>
      <c r="B75" s="33"/>
      <c r="C75" s="33"/>
      <c r="D75" s="33"/>
      <c r="E75" s="33"/>
    </row>
    <row r="76" spans="1:5" x14ac:dyDescent="0.3">
      <c r="A76" s="27"/>
      <c r="B76" s="33"/>
      <c r="C76" s="33"/>
      <c r="D76" s="33"/>
      <c r="E76" s="33"/>
    </row>
    <row r="77" spans="1:5" x14ac:dyDescent="0.3">
      <c r="A77" s="27"/>
      <c r="B77" s="33"/>
      <c r="C77" s="33"/>
      <c r="D77" s="33"/>
      <c r="E77" s="33"/>
    </row>
    <row r="78" spans="1:5" x14ac:dyDescent="0.3">
      <c r="A78" s="27"/>
      <c r="B78" s="33"/>
      <c r="C78" s="33"/>
      <c r="D78" s="33"/>
      <c r="E78" s="33"/>
    </row>
    <row r="79" spans="1:5" x14ac:dyDescent="0.3">
      <c r="A79" s="27"/>
      <c r="B79" s="33"/>
      <c r="C79" s="33"/>
      <c r="D79" s="33"/>
      <c r="E79" s="33"/>
    </row>
    <row r="80" spans="1:5" x14ac:dyDescent="0.3">
      <c r="A80" s="27"/>
      <c r="B80" s="33"/>
      <c r="C80" s="33"/>
      <c r="D80" s="33"/>
      <c r="E80" s="33"/>
    </row>
    <row r="81" spans="1:5" x14ac:dyDescent="0.3">
      <c r="A81" s="27"/>
      <c r="B81" s="33"/>
      <c r="C81" s="33"/>
      <c r="D81" s="33"/>
      <c r="E81" s="33"/>
    </row>
    <row r="82" spans="1:5" x14ac:dyDescent="0.3">
      <c r="A82" s="27"/>
      <c r="B82" s="33"/>
      <c r="C82" s="33"/>
      <c r="D82" s="33"/>
      <c r="E82" s="33"/>
    </row>
    <row r="83" spans="1:5" x14ac:dyDescent="0.3">
      <c r="A83" s="27"/>
      <c r="B83" s="33"/>
      <c r="C83" s="33"/>
      <c r="D83" s="33"/>
      <c r="E83" s="33"/>
    </row>
    <row r="84" spans="1:5" x14ac:dyDescent="0.3">
      <c r="A84" s="27"/>
      <c r="B84" s="33"/>
      <c r="C84" s="33"/>
      <c r="D84" s="33"/>
      <c r="E84" s="33"/>
    </row>
    <row r="85" spans="1:5" x14ac:dyDescent="0.3">
      <c r="A85" s="27"/>
      <c r="B85" s="33"/>
      <c r="C85" s="33"/>
      <c r="D85" s="33"/>
      <c r="E85" s="33"/>
    </row>
    <row r="86" spans="1:5" x14ac:dyDescent="0.3">
      <c r="A86" s="27"/>
      <c r="B86" s="33"/>
      <c r="C86" s="33"/>
      <c r="D86" s="33"/>
      <c r="E86" s="33"/>
    </row>
    <row r="87" spans="1:5" x14ac:dyDescent="0.3">
      <c r="A87" s="27"/>
      <c r="B87" s="33"/>
      <c r="C87" s="33"/>
      <c r="D87" s="33"/>
      <c r="E87" s="33"/>
    </row>
    <row r="88" spans="1:5" x14ac:dyDescent="0.3">
      <c r="A88" s="27"/>
      <c r="B88" s="33"/>
      <c r="C88" s="33"/>
      <c r="D88" s="33"/>
      <c r="E88" s="33"/>
    </row>
    <row r="89" spans="1:5" x14ac:dyDescent="0.3">
      <c r="A89" s="27"/>
      <c r="B89" s="33"/>
      <c r="C89" s="33"/>
      <c r="D89" s="33"/>
      <c r="E89" s="33"/>
    </row>
    <row r="90" spans="1:5" x14ac:dyDescent="0.3">
      <c r="A90" s="27"/>
      <c r="B90" s="33"/>
      <c r="C90" s="33"/>
      <c r="D90" s="33"/>
      <c r="E90" s="33"/>
    </row>
    <row r="91" spans="1:5" x14ac:dyDescent="0.3">
      <c r="A91" s="27"/>
      <c r="B91" s="33"/>
      <c r="C91" s="33"/>
      <c r="D91" s="33"/>
      <c r="E91" s="33"/>
    </row>
    <row r="92" spans="1:5" x14ac:dyDescent="0.3">
      <c r="A92" s="27"/>
      <c r="B92" s="33"/>
      <c r="C92" s="33"/>
      <c r="D92" s="33"/>
      <c r="E92" s="33"/>
    </row>
    <row r="93" spans="1:5" x14ac:dyDescent="0.3">
      <c r="A93" s="27"/>
      <c r="B93" s="33"/>
      <c r="C93" s="33"/>
      <c r="D93" s="33"/>
      <c r="E93" s="33"/>
    </row>
    <row r="94" spans="1:5" x14ac:dyDescent="0.3">
      <c r="A94" s="27"/>
      <c r="B94" s="33"/>
      <c r="C94" s="33"/>
      <c r="D94" s="33"/>
      <c r="E94" s="33"/>
    </row>
    <row r="95" spans="1:5" x14ac:dyDescent="0.3">
      <c r="A95" s="27"/>
      <c r="B95" s="33"/>
      <c r="C95" s="33"/>
      <c r="D95" s="33"/>
      <c r="E95" s="33"/>
    </row>
    <row r="96" spans="1:5" x14ac:dyDescent="0.3">
      <c r="A96" s="27"/>
      <c r="B96" s="33"/>
      <c r="C96" s="33"/>
      <c r="D96" s="33"/>
      <c r="E96" s="33"/>
    </row>
    <row r="97" spans="1:5" x14ac:dyDescent="0.3">
      <c r="A97" s="27"/>
      <c r="B97" s="33"/>
      <c r="C97" s="33"/>
      <c r="D97" s="33"/>
      <c r="E97" s="33"/>
    </row>
    <row r="98" spans="1:5" x14ac:dyDescent="0.3">
      <c r="A98" s="27"/>
      <c r="B98" s="33"/>
      <c r="C98" s="33"/>
      <c r="D98" s="33"/>
      <c r="E98" s="33"/>
    </row>
    <row r="99" spans="1:5" x14ac:dyDescent="0.3">
      <c r="A99" s="27"/>
      <c r="B99" s="33"/>
      <c r="C99" s="33"/>
      <c r="D99" s="33"/>
      <c r="E99" s="33"/>
    </row>
    <row r="100" spans="1:5" x14ac:dyDescent="0.3">
      <c r="B100" s="33"/>
      <c r="C100" s="33"/>
      <c r="D100" s="33"/>
      <c r="E100" s="33"/>
    </row>
    <row r="101" spans="1:5" x14ac:dyDescent="0.3">
      <c r="B101" s="33"/>
      <c r="C101" s="33"/>
      <c r="D101" s="33"/>
      <c r="E101" s="33"/>
    </row>
    <row r="102" spans="1:5" x14ac:dyDescent="0.3">
      <c r="B102" s="33"/>
      <c r="C102" s="33"/>
      <c r="D102" s="33"/>
      <c r="E102" s="33"/>
    </row>
    <row r="103" spans="1:5" x14ac:dyDescent="0.3">
      <c r="B103" s="33"/>
      <c r="C103" s="33"/>
      <c r="D103" s="33"/>
      <c r="E103" s="33"/>
    </row>
    <row r="104" spans="1:5" x14ac:dyDescent="0.3">
      <c r="B104" s="33"/>
      <c r="C104" s="33"/>
      <c r="D104" s="33"/>
      <c r="E104" s="33"/>
    </row>
    <row r="105" spans="1:5" x14ac:dyDescent="0.3">
      <c r="B105" s="33"/>
      <c r="C105" s="33"/>
      <c r="D105" s="33"/>
      <c r="E105" s="33"/>
    </row>
    <row r="106" spans="1:5" x14ac:dyDescent="0.3">
      <c r="A106" s="33"/>
      <c r="B106" s="33"/>
      <c r="C106" s="33"/>
      <c r="D106" s="33"/>
      <c r="E106" s="33"/>
    </row>
    <row r="107" spans="1:5" x14ac:dyDescent="0.3">
      <c r="A107" s="33"/>
      <c r="B107" s="33"/>
      <c r="C107" s="33"/>
      <c r="D107" s="33"/>
      <c r="E107" s="33"/>
    </row>
  </sheetData>
  <sheetProtection password="DC5C" sheet="1" objects="1" scenarios="1"/>
  <mergeCells count="1">
    <mergeCell ref="H40:U40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70C0"/>
  </sheetPr>
  <dimension ref="A1:I196"/>
  <sheetViews>
    <sheetView zoomScale="70" zoomScaleNormal="70" workbookViewId="0">
      <pane ySplit="4" topLeftCell="A5" activePane="bottomLeft" state="frozen"/>
      <selection activeCell="G170" sqref="G170"/>
      <selection pane="bottomLeft" activeCell="E21" sqref="E21:E22"/>
    </sheetView>
  </sheetViews>
  <sheetFormatPr defaultRowHeight="14.4" x14ac:dyDescent="0.3"/>
  <cols>
    <col min="1" max="6" width="18.6640625" customWidth="1"/>
    <col min="257" max="262" width="18.6640625" customWidth="1"/>
    <col min="513" max="518" width="18.6640625" customWidth="1"/>
    <col min="769" max="774" width="18.6640625" customWidth="1"/>
    <col min="1025" max="1030" width="18.6640625" customWidth="1"/>
    <col min="1281" max="1286" width="18.6640625" customWidth="1"/>
    <col min="1537" max="1542" width="18.6640625" customWidth="1"/>
    <col min="1793" max="1798" width="18.6640625" customWidth="1"/>
    <col min="2049" max="2054" width="18.6640625" customWidth="1"/>
    <col min="2305" max="2310" width="18.6640625" customWidth="1"/>
    <col min="2561" max="2566" width="18.6640625" customWidth="1"/>
    <col min="2817" max="2822" width="18.6640625" customWidth="1"/>
    <col min="3073" max="3078" width="18.6640625" customWidth="1"/>
    <col min="3329" max="3334" width="18.6640625" customWidth="1"/>
    <col min="3585" max="3590" width="18.6640625" customWidth="1"/>
    <col min="3841" max="3846" width="18.6640625" customWidth="1"/>
    <col min="4097" max="4102" width="18.6640625" customWidth="1"/>
    <col min="4353" max="4358" width="18.6640625" customWidth="1"/>
    <col min="4609" max="4614" width="18.6640625" customWidth="1"/>
    <col min="4865" max="4870" width="18.6640625" customWidth="1"/>
    <col min="5121" max="5126" width="18.6640625" customWidth="1"/>
    <col min="5377" max="5382" width="18.6640625" customWidth="1"/>
    <col min="5633" max="5638" width="18.6640625" customWidth="1"/>
    <col min="5889" max="5894" width="18.6640625" customWidth="1"/>
    <col min="6145" max="6150" width="18.6640625" customWidth="1"/>
    <col min="6401" max="6406" width="18.6640625" customWidth="1"/>
    <col min="6657" max="6662" width="18.6640625" customWidth="1"/>
    <col min="6913" max="6918" width="18.6640625" customWidth="1"/>
    <col min="7169" max="7174" width="18.6640625" customWidth="1"/>
    <col min="7425" max="7430" width="18.6640625" customWidth="1"/>
    <col min="7681" max="7686" width="18.6640625" customWidth="1"/>
    <col min="7937" max="7942" width="18.6640625" customWidth="1"/>
    <col min="8193" max="8198" width="18.6640625" customWidth="1"/>
    <col min="8449" max="8454" width="18.6640625" customWidth="1"/>
    <col min="8705" max="8710" width="18.6640625" customWidth="1"/>
    <col min="8961" max="8966" width="18.6640625" customWidth="1"/>
    <col min="9217" max="9222" width="18.6640625" customWidth="1"/>
    <col min="9473" max="9478" width="18.6640625" customWidth="1"/>
    <col min="9729" max="9734" width="18.6640625" customWidth="1"/>
    <col min="9985" max="9990" width="18.6640625" customWidth="1"/>
    <col min="10241" max="10246" width="18.6640625" customWidth="1"/>
    <col min="10497" max="10502" width="18.6640625" customWidth="1"/>
    <col min="10753" max="10758" width="18.6640625" customWidth="1"/>
    <col min="11009" max="11014" width="18.6640625" customWidth="1"/>
    <col min="11265" max="11270" width="18.6640625" customWidth="1"/>
    <col min="11521" max="11526" width="18.6640625" customWidth="1"/>
    <col min="11777" max="11782" width="18.6640625" customWidth="1"/>
    <col min="12033" max="12038" width="18.6640625" customWidth="1"/>
    <col min="12289" max="12294" width="18.6640625" customWidth="1"/>
    <col min="12545" max="12550" width="18.6640625" customWidth="1"/>
    <col min="12801" max="12806" width="18.6640625" customWidth="1"/>
    <col min="13057" max="13062" width="18.6640625" customWidth="1"/>
    <col min="13313" max="13318" width="18.6640625" customWidth="1"/>
    <col min="13569" max="13574" width="18.6640625" customWidth="1"/>
    <col min="13825" max="13830" width="18.6640625" customWidth="1"/>
    <col min="14081" max="14086" width="18.6640625" customWidth="1"/>
    <col min="14337" max="14342" width="18.6640625" customWidth="1"/>
    <col min="14593" max="14598" width="18.6640625" customWidth="1"/>
    <col min="14849" max="14854" width="18.6640625" customWidth="1"/>
    <col min="15105" max="15110" width="18.6640625" customWidth="1"/>
    <col min="15361" max="15366" width="18.6640625" customWidth="1"/>
    <col min="15617" max="15622" width="18.6640625" customWidth="1"/>
    <col min="15873" max="15878" width="18.6640625" customWidth="1"/>
    <col min="16129" max="16134" width="18.6640625" customWidth="1"/>
  </cols>
  <sheetData>
    <row r="1" spans="1:9" ht="21" x14ac:dyDescent="0.35">
      <c r="A1" s="142" t="s">
        <v>31</v>
      </c>
      <c r="B1" s="142"/>
      <c r="C1" s="142"/>
      <c r="D1" s="142"/>
      <c r="E1" s="142"/>
      <c r="F1" s="142"/>
    </row>
    <row r="3" spans="1:9" ht="15" x14ac:dyDescent="0.25">
      <c r="A3" s="5">
        <v>0.2</v>
      </c>
      <c r="B3" s="5">
        <v>0.1</v>
      </c>
      <c r="C3" s="5">
        <v>0.05</v>
      </c>
      <c r="D3" s="5">
        <v>0.02</v>
      </c>
      <c r="E3" s="5">
        <v>0.01</v>
      </c>
      <c r="F3" s="6" t="s">
        <v>32</v>
      </c>
    </row>
    <row r="4" spans="1:9" ht="15" x14ac:dyDescent="0.25">
      <c r="A4" s="7" t="s">
        <v>33</v>
      </c>
      <c r="B4" s="7" t="s">
        <v>34</v>
      </c>
      <c r="C4" s="7" t="s">
        <v>35</v>
      </c>
      <c r="D4" s="7" t="s">
        <v>36</v>
      </c>
      <c r="E4" s="7" t="s">
        <v>37</v>
      </c>
      <c r="F4" s="7" t="s">
        <v>38</v>
      </c>
    </row>
    <row r="5" spans="1:9" x14ac:dyDescent="0.3">
      <c r="A5" s="143">
        <v>100</v>
      </c>
      <c r="B5" s="144">
        <v>100</v>
      </c>
      <c r="C5" s="139">
        <v>100</v>
      </c>
      <c r="D5" s="140">
        <v>100</v>
      </c>
      <c r="E5" s="141">
        <v>100</v>
      </c>
      <c r="F5" s="8">
        <v>100</v>
      </c>
    </row>
    <row r="6" spans="1:9" x14ac:dyDescent="0.3">
      <c r="A6" s="143"/>
      <c r="B6" s="144"/>
      <c r="C6" s="139"/>
      <c r="D6" s="140"/>
      <c r="E6" s="141"/>
      <c r="F6" s="8">
        <v>101</v>
      </c>
    </row>
    <row r="7" spans="1:9" x14ac:dyDescent="0.3">
      <c r="A7" s="143"/>
      <c r="B7" s="144"/>
      <c r="C7" s="139"/>
      <c r="D7" s="140"/>
      <c r="E7" s="141">
        <v>102</v>
      </c>
      <c r="F7" s="8">
        <v>102</v>
      </c>
    </row>
    <row r="8" spans="1:9" x14ac:dyDescent="0.3">
      <c r="A8" s="143"/>
      <c r="B8" s="144"/>
      <c r="C8" s="139"/>
      <c r="D8" s="140"/>
      <c r="E8" s="141"/>
      <c r="F8" s="8">
        <v>104</v>
      </c>
    </row>
    <row r="9" spans="1:9" x14ac:dyDescent="0.3">
      <c r="A9" s="143"/>
      <c r="B9" s="144"/>
      <c r="C9" s="139"/>
      <c r="D9" s="140">
        <v>105</v>
      </c>
      <c r="E9" s="141">
        <v>105</v>
      </c>
      <c r="F9" s="8">
        <v>105</v>
      </c>
    </row>
    <row r="10" spans="1:9" x14ac:dyDescent="0.3">
      <c r="A10" s="143"/>
      <c r="B10" s="144"/>
      <c r="C10" s="139"/>
      <c r="D10" s="140"/>
      <c r="E10" s="141"/>
      <c r="F10" s="8">
        <v>106</v>
      </c>
      <c r="I10" s="2"/>
    </row>
    <row r="11" spans="1:9" x14ac:dyDescent="0.3">
      <c r="A11" s="143"/>
      <c r="B11" s="144"/>
      <c r="C11" s="139"/>
      <c r="D11" s="140"/>
      <c r="E11" s="141">
        <v>107</v>
      </c>
      <c r="F11" s="8">
        <v>107</v>
      </c>
    </row>
    <row r="12" spans="1:9" x14ac:dyDescent="0.3">
      <c r="A12" s="143"/>
      <c r="B12" s="144"/>
      <c r="C12" s="139"/>
      <c r="D12" s="140"/>
      <c r="E12" s="141"/>
      <c r="F12" s="8">
        <v>109</v>
      </c>
    </row>
    <row r="13" spans="1:9" x14ac:dyDescent="0.3">
      <c r="A13" s="143"/>
      <c r="B13" s="144"/>
      <c r="C13" s="139">
        <v>110</v>
      </c>
      <c r="D13" s="140">
        <v>110</v>
      </c>
      <c r="E13" s="141">
        <v>110</v>
      </c>
      <c r="F13" s="8">
        <v>110</v>
      </c>
    </row>
    <row r="14" spans="1:9" x14ac:dyDescent="0.3">
      <c r="A14" s="143"/>
      <c r="B14" s="144"/>
      <c r="C14" s="139"/>
      <c r="D14" s="140"/>
      <c r="E14" s="141"/>
      <c r="F14" s="8">
        <v>111</v>
      </c>
    </row>
    <row r="15" spans="1:9" x14ac:dyDescent="0.3">
      <c r="A15" s="143"/>
      <c r="B15" s="144"/>
      <c r="C15" s="139"/>
      <c r="D15" s="140"/>
      <c r="E15" s="141">
        <v>113</v>
      </c>
      <c r="F15" s="8">
        <v>113</v>
      </c>
    </row>
    <row r="16" spans="1:9" x14ac:dyDescent="0.3">
      <c r="A16" s="143"/>
      <c r="B16" s="144"/>
      <c r="C16" s="139"/>
      <c r="D16" s="140"/>
      <c r="E16" s="141"/>
      <c r="F16" s="8">
        <v>114</v>
      </c>
    </row>
    <row r="17" spans="1:6" x14ac:dyDescent="0.3">
      <c r="A17" s="143"/>
      <c r="B17" s="144"/>
      <c r="C17" s="139"/>
      <c r="D17" s="140">
        <v>115</v>
      </c>
      <c r="E17" s="141">
        <v>115</v>
      </c>
      <c r="F17" s="8">
        <v>115</v>
      </c>
    </row>
    <row r="18" spans="1:6" x14ac:dyDescent="0.3">
      <c r="A18" s="143"/>
      <c r="B18" s="144"/>
      <c r="C18" s="139"/>
      <c r="D18" s="140"/>
      <c r="E18" s="141"/>
      <c r="F18" s="8">
        <v>117</v>
      </c>
    </row>
    <row r="19" spans="1:6" x14ac:dyDescent="0.3">
      <c r="A19" s="143"/>
      <c r="B19" s="144"/>
      <c r="C19" s="139"/>
      <c r="D19" s="140"/>
      <c r="E19" s="141">
        <v>118</v>
      </c>
      <c r="F19" s="8">
        <v>118</v>
      </c>
    </row>
    <row r="20" spans="1:6" x14ac:dyDescent="0.3">
      <c r="A20" s="143"/>
      <c r="B20" s="144"/>
      <c r="C20" s="139"/>
      <c r="D20" s="140"/>
      <c r="E20" s="141"/>
      <c r="F20" s="8">
        <v>120</v>
      </c>
    </row>
    <row r="21" spans="1:6" x14ac:dyDescent="0.3">
      <c r="A21" s="143"/>
      <c r="B21" s="144">
        <v>120</v>
      </c>
      <c r="C21" s="139">
        <v>120</v>
      </c>
      <c r="D21" s="140">
        <v>121</v>
      </c>
      <c r="E21" s="141">
        <v>121</v>
      </c>
      <c r="F21" s="8">
        <v>121</v>
      </c>
    </row>
    <row r="22" spans="1:6" x14ac:dyDescent="0.3">
      <c r="A22" s="143"/>
      <c r="B22" s="144"/>
      <c r="C22" s="139"/>
      <c r="D22" s="140"/>
      <c r="E22" s="141"/>
      <c r="F22" s="8">
        <v>123</v>
      </c>
    </row>
    <row r="23" spans="1:6" x14ac:dyDescent="0.3">
      <c r="A23" s="143"/>
      <c r="B23" s="144"/>
      <c r="C23" s="139"/>
      <c r="D23" s="140"/>
      <c r="E23" s="141">
        <v>124</v>
      </c>
      <c r="F23" s="8">
        <v>124</v>
      </c>
    </row>
    <row r="24" spans="1:6" x14ac:dyDescent="0.3">
      <c r="A24" s="143"/>
      <c r="B24" s="144"/>
      <c r="C24" s="139"/>
      <c r="D24" s="140"/>
      <c r="E24" s="141"/>
      <c r="F24" s="8">
        <v>126</v>
      </c>
    </row>
    <row r="25" spans="1:6" x14ac:dyDescent="0.3">
      <c r="A25" s="143"/>
      <c r="B25" s="144"/>
      <c r="C25" s="139"/>
      <c r="D25" s="140">
        <v>127</v>
      </c>
      <c r="E25" s="141">
        <v>127</v>
      </c>
      <c r="F25" s="8">
        <v>127</v>
      </c>
    </row>
    <row r="26" spans="1:6" x14ac:dyDescent="0.3">
      <c r="A26" s="143"/>
      <c r="B26" s="144"/>
      <c r="C26" s="139"/>
      <c r="D26" s="140"/>
      <c r="E26" s="141"/>
      <c r="F26" s="8">
        <v>129</v>
      </c>
    </row>
    <row r="27" spans="1:6" x14ac:dyDescent="0.3">
      <c r="A27" s="143"/>
      <c r="B27" s="144"/>
      <c r="C27" s="139"/>
      <c r="D27" s="140"/>
      <c r="E27" s="141">
        <v>130</v>
      </c>
      <c r="F27" s="8">
        <v>130</v>
      </c>
    </row>
    <row r="28" spans="1:6" x14ac:dyDescent="0.3">
      <c r="A28" s="143"/>
      <c r="B28" s="144"/>
      <c r="C28" s="139"/>
      <c r="D28" s="140"/>
      <c r="E28" s="141"/>
      <c r="F28" s="8">
        <v>132</v>
      </c>
    </row>
    <row r="29" spans="1:6" x14ac:dyDescent="0.3">
      <c r="A29" s="143"/>
      <c r="B29" s="144"/>
      <c r="C29" s="139">
        <v>130</v>
      </c>
      <c r="D29" s="140">
        <v>133</v>
      </c>
      <c r="E29" s="141">
        <v>133</v>
      </c>
      <c r="F29" s="8">
        <v>133</v>
      </c>
    </row>
    <row r="30" spans="1:6" x14ac:dyDescent="0.3">
      <c r="A30" s="143"/>
      <c r="B30" s="144"/>
      <c r="C30" s="139"/>
      <c r="D30" s="140"/>
      <c r="E30" s="141"/>
      <c r="F30" s="8">
        <v>135</v>
      </c>
    </row>
    <row r="31" spans="1:6" x14ac:dyDescent="0.3">
      <c r="A31" s="143"/>
      <c r="B31" s="144"/>
      <c r="C31" s="139"/>
      <c r="D31" s="140"/>
      <c r="E31" s="141">
        <v>137</v>
      </c>
      <c r="F31" s="8">
        <v>137</v>
      </c>
    </row>
    <row r="32" spans="1:6" x14ac:dyDescent="0.3">
      <c r="A32" s="143"/>
      <c r="B32" s="144"/>
      <c r="C32" s="139"/>
      <c r="D32" s="140"/>
      <c r="E32" s="141"/>
      <c r="F32" s="8">
        <v>138</v>
      </c>
    </row>
    <row r="33" spans="1:6" x14ac:dyDescent="0.3">
      <c r="A33" s="143"/>
      <c r="B33" s="144"/>
      <c r="C33" s="139"/>
      <c r="D33" s="140">
        <v>140</v>
      </c>
      <c r="E33" s="141">
        <v>140</v>
      </c>
      <c r="F33" s="8">
        <v>140</v>
      </c>
    </row>
    <row r="34" spans="1:6" x14ac:dyDescent="0.3">
      <c r="A34" s="143"/>
      <c r="B34" s="144"/>
      <c r="C34" s="139"/>
      <c r="D34" s="140"/>
      <c r="E34" s="141"/>
      <c r="F34" s="8">
        <v>142</v>
      </c>
    </row>
    <row r="35" spans="1:6" x14ac:dyDescent="0.3">
      <c r="A35" s="143"/>
      <c r="B35" s="144"/>
      <c r="C35" s="139"/>
      <c r="D35" s="140"/>
      <c r="E35" s="141">
        <v>143</v>
      </c>
      <c r="F35" s="8">
        <v>143</v>
      </c>
    </row>
    <row r="36" spans="1:6" x14ac:dyDescent="0.3">
      <c r="A36" s="143"/>
      <c r="B36" s="144"/>
      <c r="C36" s="139"/>
      <c r="D36" s="140"/>
      <c r="E36" s="141"/>
      <c r="F36" s="8">
        <v>145</v>
      </c>
    </row>
    <row r="37" spans="1:6" x14ac:dyDescent="0.3">
      <c r="A37" s="143">
        <v>150</v>
      </c>
      <c r="B37" s="144">
        <v>150</v>
      </c>
      <c r="C37" s="139">
        <v>150</v>
      </c>
      <c r="D37" s="140">
        <v>147</v>
      </c>
      <c r="E37" s="141">
        <v>147</v>
      </c>
      <c r="F37" s="8">
        <v>147</v>
      </c>
    </row>
    <row r="38" spans="1:6" x14ac:dyDescent="0.3">
      <c r="A38" s="143"/>
      <c r="B38" s="144"/>
      <c r="C38" s="139"/>
      <c r="D38" s="140"/>
      <c r="E38" s="141"/>
      <c r="F38" s="8">
        <v>149</v>
      </c>
    </row>
    <row r="39" spans="1:6" x14ac:dyDescent="0.3">
      <c r="A39" s="143"/>
      <c r="B39" s="144"/>
      <c r="C39" s="139"/>
      <c r="D39" s="140"/>
      <c r="E39" s="141">
        <v>150</v>
      </c>
      <c r="F39" s="8">
        <v>150</v>
      </c>
    </row>
    <row r="40" spans="1:6" x14ac:dyDescent="0.3">
      <c r="A40" s="143"/>
      <c r="B40" s="144"/>
      <c r="C40" s="139"/>
      <c r="D40" s="140"/>
      <c r="E40" s="141"/>
      <c r="F40" s="8">
        <v>152</v>
      </c>
    </row>
    <row r="41" spans="1:6" x14ac:dyDescent="0.3">
      <c r="A41" s="143"/>
      <c r="B41" s="144"/>
      <c r="C41" s="139"/>
      <c r="D41" s="140">
        <v>154</v>
      </c>
      <c r="E41" s="141">
        <v>154</v>
      </c>
      <c r="F41" s="8">
        <v>154</v>
      </c>
    </row>
    <row r="42" spans="1:6" x14ac:dyDescent="0.3">
      <c r="A42" s="143"/>
      <c r="B42" s="144"/>
      <c r="C42" s="139"/>
      <c r="D42" s="140"/>
      <c r="E42" s="141"/>
      <c r="F42" s="8">
        <v>156</v>
      </c>
    </row>
    <row r="43" spans="1:6" x14ac:dyDescent="0.3">
      <c r="A43" s="143"/>
      <c r="B43" s="144"/>
      <c r="C43" s="139"/>
      <c r="D43" s="140"/>
      <c r="E43" s="141">
        <v>158</v>
      </c>
      <c r="F43" s="8">
        <v>158</v>
      </c>
    </row>
    <row r="44" spans="1:6" x14ac:dyDescent="0.3">
      <c r="A44" s="143"/>
      <c r="B44" s="144"/>
      <c r="C44" s="139"/>
      <c r="D44" s="140"/>
      <c r="E44" s="141"/>
      <c r="F44" s="8">
        <v>160</v>
      </c>
    </row>
    <row r="45" spans="1:6" x14ac:dyDescent="0.3">
      <c r="A45" s="143"/>
      <c r="B45" s="144"/>
      <c r="C45" s="139">
        <v>160</v>
      </c>
      <c r="D45" s="140">
        <v>162</v>
      </c>
      <c r="E45" s="141">
        <v>162</v>
      </c>
      <c r="F45" s="8">
        <v>162</v>
      </c>
    </row>
    <row r="46" spans="1:6" x14ac:dyDescent="0.3">
      <c r="A46" s="143"/>
      <c r="B46" s="144"/>
      <c r="C46" s="139"/>
      <c r="D46" s="140"/>
      <c r="E46" s="141"/>
      <c r="F46" s="8">
        <v>164</v>
      </c>
    </row>
    <row r="47" spans="1:6" x14ac:dyDescent="0.3">
      <c r="A47" s="143"/>
      <c r="B47" s="144"/>
      <c r="C47" s="139"/>
      <c r="D47" s="140"/>
      <c r="E47" s="141">
        <v>165</v>
      </c>
      <c r="F47" s="8">
        <v>165</v>
      </c>
    </row>
    <row r="48" spans="1:6" x14ac:dyDescent="0.3">
      <c r="A48" s="143"/>
      <c r="B48" s="144"/>
      <c r="C48" s="139"/>
      <c r="D48" s="140"/>
      <c r="E48" s="141"/>
      <c r="F48" s="8">
        <v>167</v>
      </c>
    </row>
    <row r="49" spans="1:6" x14ac:dyDescent="0.3">
      <c r="A49" s="143"/>
      <c r="B49" s="144"/>
      <c r="C49" s="139"/>
      <c r="D49" s="140">
        <v>169</v>
      </c>
      <c r="E49" s="141">
        <v>169</v>
      </c>
      <c r="F49" s="8">
        <v>169</v>
      </c>
    </row>
    <row r="50" spans="1:6" x14ac:dyDescent="0.3">
      <c r="A50" s="143"/>
      <c r="B50" s="144"/>
      <c r="C50" s="139"/>
      <c r="D50" s="140"/>
      <c r="E50" s="141"/>
      <c r="F50" s="8">
        <v>172</v>
      </c>
    </row>
    <row r="51" spans="1:6" x14ac:dyDescent="0.3">
      <c r="A51" s="143"/>
      <c r="B51" s="144"/>
      <c r="C51" s="139"/>
      <c r="D51" s="140"/>
      <c r="E51" s="141">
        <v>174</v>
      </c>
      <c r="F51" s="8">
        <v>174</v>
      </c>
    </row>
    <row r="52" spans="1:6" x14ac:dyDescent="0.3">
      <c r="A52" s="143"/>
      <c r="B52" s="144"/>
      <c r="C52" s="139"/>
      <c r="D52" s="140"/>
      <c r="E52" s="141"/>
      <c r="F52" s="8">
        <v>176</v>
      </c>
    </row>
    <row r="53" spans="1:6" x14ac:dyDescent="0.3">
      <c r="A53" s="143"/>
      <c r="B53" s="144">
        <v>180</v>
      </c>
      <c r="C53" s="139">
        <v>180</v>
      </c>
      <c r="D53" s="140">
        <v>178</v>
      </c>
      <c r="E53" s="141">
        <v>178</v>
      </c>
      <c r="F53" s="8">
        <v>178</v>
      </c>
    </row>
    <row r="54" spans="1:6" x14ac:dyDescent="0.3">
      <c r="A54" s="143"/>
      <c r="B54" s="144"/>
      <c r="C54" s="139"/>
      <c r="D54" s="140"/>
      <c r="E54" s="141"/>
      <c r="F54" s="8">
        <v>180</v>
      </c>
    </row>
    <row r="55" spans="1:6" x14ac:dyDescent="0.3">
      <c r="A55" s="143"/>
      <c r="B55" s="144"/>
      <c r="C55" s="139"/>
      <c r="D55" s="140"/>
      <c r="E55" s="141">
        <v>182</v>
      </c>
      <c r="F55" s="8">
        <v>182</v>
      </c>
    </row>
    <row r="56" spans="1:6" x14ac:dyDescent="0.3">
      <c r="A56" s="143"/>
      <c r="B56" s="144"/>
      <c r="C56" s="139"/>
      <c r="D56" s="140"/>
      <c r="E56" s="141"/>
      <c r="F56" s="8">
        <v>184</v>
      </c>
    </row>
    <row r="57" spans="1:6" x14ac:dyDescent="0.3">
      <c r="A57" s="143"/>
      <c r="B57" s="144"/>
      <c r="C57" s="139"/>
      <c r="D57" s="140">
        <v>187</v>
      </c>
      <c r="E57" s="141">
        <v>187</v>
      </c>
      <c r="F57" s="8">
        <v>187</v>
      </c>
    </row>
    <row r="58" spans="1:6" x14ac:dyDescent="0.3">
      <c r="A58" s="143"/>
      <c r="B58" s="144"/>
      <c r="C58" s="139"/>
      <c r="D58" s="140"/>
      <c r="E58" s="141"/>
      <c r="F58" s="8">
        <v>189</v>
      </c>
    </row>
    <row r="59" spans="1:6" x14ac:dyDescent="0.3">
      <c r="A59" s="143"/>
      <c r="B59" s="144"/>
      <c r="C59" s="139"/>
      <c r="D59" s="140"/>
      <c r="E59" s="141">
        <v>191</v>
      </c>
      <c r="F59" s="8">
        <v>191</v>
      </c>
    </row>
    <row r="60" spans="1:6" x14ac:dyDescent="0.3">
      <c r="A60" s="143"/>
      <c r="B60" s="144"/>
      <c r="C60" s="139"/>
      <c r="D60" s="140"/>
      <c r="E60" s="141"/>
      <c r="F60" s="8">
        <v>193</v>
      </c>
    </row>
    <row r="61" spans="1:6" x14ac:dyDescent="0.3">
      <c r="A61" s="143"/>
      <c r="B61" s="144"/>
      <c r="C61" s="139">
        <v>200</v>
      </c>
      <c r="D61" s="140">
        <v>196</v>
      </c>
      <c r="E61" s="141">
        <v>196</v>
      </c>
      <c r="F61" s="8">
        <v>196</v>
      </c>
    </row>
    <row r="62" spans="1:6" x14ac:dyDescent="0.3">
      <c r="A62" s="143"/>
      <c r="B62" s="144"/>
      <c r="C62" s="139"/>
      <c r="D62" s="140"/>
      <c r="E62" s="141"/>
      <c r="F62" s="8">
        <v>198</v>
      </c>
    </row>
    <row r="63" spans="1:6" x14ac:dyDescent="0.3">
      <c r="A63" s="143"/>
      <c r="B63" s="144"/>
      <c r="C63" s="139"/>
      <c r="D63" s="140"/>
      <c r="E63" s="141">
        <v>200</v>
      </c>
      <c r="F63" s="8">
        <v>200</v>
      </c>
    </row>
    <row r="64" spans="1:6" x14ac:dyDescent="0.3">
      <c r="A64" s="143"/>
      <c r="B64" s="144"/>
      <c r="C64" s="139"/>
      <c r="D64" s="140"/>
      <c r="E64" s="141"/>
      <c r="F64" s="8">
        <v>203</v>
      </c>
    </row>
    <row r="65" spans="1:6" x14ac:dyDescent="0.3">
      <c r="A65" s="143"/>
      <c r="B65" s="144"/>
      <c r="C65" s="139"/>
      <c r="D65" s="140">
        <v>205</v>
      </c>
      <c r="E65" s="141">
        <v>205</v>
      </c>
      <c r="F65" s="8">
        <v>205</v>
      </c>
    </row>
    <row r="66" spans="1:6" x14ac:dyDescent="0.3">
      <c r="A66" s="143"/>
      <c r="B66" s="144"/>
      <c r="C66" s="139"/>
      <c r="D66" s="140"/>
      <c r="E66" s="141"/>
      <c r="F66" s="8">
        <v>208</v>
      </c>
    </row>
    <row r="67" spans="1:6" x14ac:dyDescent="0.3">
      <c r="A67" s="143"/>
      <c r="B67" s="144"/>
      <c r="C67" s="139"/>
      <c r="D67" s="140"/>
      <c r="E67" s="141">
        <v>210</v>
      </c>
      <c r="F67" s="8">
        <v>210</v>
      </c>
    </row>
    <row r="68" spans="1:6" x14ac:dyDescent="0.3">
      <c r="A68" s="143"/>
      <c r="B68" s="144"/>
      <c r="C68" s="139"/>
      <c r="D68" s="140"/>
      <c r="E68" s="141"/>
      <c r="F68" s="8">
        <v>213</v>
      </c>
    </row>
    <row r="69" spans="1:6" x14ac:dyDescent="0.3">
      <c r="A69" s="143">
        <v>220</v>
      </c>
      <c r="B69" s="144">
        <v>220</v>
      </c>
      <c r="C69" s="139">
        <v>220</v>
      </c>
      <c r="D69" s="140">
        <v>215</v>
      </c>
      <c r="E69" s="141">
        <v>215</v>
      </c>
      <c r="F69" s="8">
        <v>215</v>
      </c>
    </row>
    <row r="70" spans="1:6" x14ac:dyDescent="0.3">
      <c r="A70" s="143"/>
      <c r="B70" s="144"/>
      <c r="C70" s="139"/>
      <c r="D70" s="140"/>
      <c r="E70" s="141"/>
      <c r="F70" s="8">
        <v>218</v>
      </c>
    </row>
    <row r="71" spans="1:6" x14ac:dyDescent="0.3">
      <c r="A71" s="143"/>
      <c r="B71" s="144"/>
      <c r="C71" s="139"/>
      <c r="D71" s="140"/>
      <c r="E71" s="141">
        <v>221</v>
      </c>
      <c r="F71" s="8">
        <v>221</v>
      </c>
    </row>
    <row r="72" spans="1:6" x14ac:dyDescent="0.3">
      <c r="A72" s="143"/>
      <c r="B72" s="144"/>
      <c r="C72" s="139"/>
      <c r="D72" s="140"/>
      <c r="E72" s="141"/>
      <c r="F72" s="8">
        <v>223</v>
      </c>
    </row>
    <row r="73" spans="1:6" x14ac:dyDescent="0.3">
      <c r="A73" s="143"/>
      <c r="B73" s="144"/>
      <c r="C73" s="139"/>
      <c r="D73" s="140">
        <v>226</v>
      </c>
      <c r="E73" s="141">
        <v>226</v>
      </c>
      <c r="F73" s="8">
        <v>226</v>
      </c>
    </row>
    <row r="74" spans="1:6" x14ac:dyDescent="0.3">
      <c r="A74" s="143"/>
      <c r="B74" s="144"/>
      <c r="C74" s="139"/>
      <c r="D74" s="140"/>
      <c r="E74" s="141"/>
      <c r="F74" s="8">
        <v>229</v>
      </c>
    </row>
    <row r="75" spans="1:6" x14ac:dyDescent="0.3">
      <c r="A75" s="143"/>
      <c r="B75" s="144"/>
      <c r="C75" s="139"/>
      <c r="D75" s="140"/>
      <c r="E75" s="141">
        <v>232</v>
      </c>
      <c r="F75" s="8">
        <v>232</v>
      </c>
    </row>
    <row r="76" spans="1:6" x14ac:dyDescent="0.3">
      <c r="A76" s="143"/>
      <c r="B76" s="144"/>
      <c r="C76" s="139"/>
      <c r="D76" s="140"/>
      <c r="E76" s="141"/>
      <c r="F76" s="8">
        <v>234</v>
      </c>
    </row>
    <row r="77" spans="1:6" x14ac:dyDescent="0.3">
      <c r="A77" s="143"/>
      <c r="B77" s="144"/>
      <c r="C77" s="139">
        <v>240</v>
      </c>
      <c r="D77" s="140">
        <v>237</v>
      </c>
      <c r="E77" s="141">
        <v>237</v>
      </c>
      <c r="F77" s="8">
        <v>237</v>
      </c>
    </row>
    <row r="78" spans="1:6" x14ac:dyDescent="0.3">
      <c r="A78" s="143"/>
      <c r="B78" s="144"/>
      <c r="C78" s="139"/>
      <c r="D78" s="140"/>
      <c r="E78" s="141"/>
      <c r="F78" s="8">
        <v>240</v>
      </c>
    </row>
    <row r="79" spans="1:6" x14ac:dyDescent="0.3">
      <c r="A79" s="143"/>
      <c r="B79" s="144"/>
      <c r="C79" s="139"/>
      <c r="D79" s="140"/>
      <c r="E79" s="141">
        <v>243</v>
      </c>
      <c r="F79" s="8">
        <v>243</v>
      </c>
    </row>
    <row r="80" spans="1:6" x14ac:dyDescent="0.3">
      <c r="A80" s="143"/>
      <c r="B80" s="144"/>
      <c r="C80" s="139"/>
      <c r="D80" s="140"/>
      <c r="E80" s="141"/>
      <c r="F80" s="8">
        <v>246</v>
      </c>
    </row>
    <row r="81" spans="1:6" x14ac:dyDescent="0.3">
      <c r="A81" s="143"/>
      <c r="B81" s="144"/>
      <c r="C81" s="139"/>
      <c r="D81" s="140">
        <v>249</v>
      </c>
      <c r="E81" s="141">
        <v>249</v>
      </c>
      <c r="F81" s="8">
        <v>249</v>
      </c>
    </row>
    <row r="82" spans="1:6" x14ac:dyDescent="0.3">
      <c r="A82" s="143"/>
      <c r="B82" s="144"/>
      <c r="C82" s="139"/>
      <c r="D82" s="140"/>
      <c r="E82" s="141"/>
      <c r="F82" s="8">
        <v>252</v>
      </c>
    </row>
    <row r="83" spans="1:6" x14ac:dyDescent="0.3">
      <c r="A83" s="143"/>
      <c r="B83" s="144"/>
      <c r="C83" s="139"/>
      <c r="D83" s="140"/>
      <c r="E83" s="141">
        <v>255</v>
      </c>
      <c r="F83" s="8">
        <v>255</v>
      </c>
    </row>
    <row r="84" spans="1:6" x14ac:dyDescent="0.3">
      <c r="A84" s="143"/>
      <c r="B84" s="144"/>
      <c r="C84" s="139"/>
      <c r="D84" s="140"/>
      <c r="E84" s="141"/>
      <c r="F84" s="8">
        <v>258</v>
      </c>
    </row>
    <row r="85" spans="1:6" x14ac:dyDescent="0.3">
      <c r="A85" s="143"/>
      <c r="B85" s="144">
        <v>270</v>
      </c>
      <c r="C85" s="139">
        <v>270</v>
      </c>
      <c r="D85" s="140">
        <v>261</v>
      </c>
      <c r="E85" s="141">
        <v>261</v>
      </c>
      <c r="F85" s="8">
        <v>261</v>
      </c>
    </row>
    <row r="86" spans="1:6" x14ac:dyDescent="0.3">
      <c r="A86" s="143"/>
      <c r="B86" s="144"/>
      <c r="C86" s="139"/>
      <c r="D86" s="140"/>
      <c r="E86" s="141"/>
      <c r="F86" s="8">
        <v>264</v>
      </c>
    </row>
    <row r="87" spans="1:6" x14ac:dyDescent="0.3">
      <c r="A87" s="143"/>
      <c r="B87" s="144"/>
      <c r="C87" s="139"/>
      <c r="D87" s="140"/>
      <c r="E87" s="141">
        <v>267</v>
      </c>
      <c r="F87" s="8">
        <v>267</v>
      </c>
    </row>
    <row r="88" spans="1:6" x14ac:dyDescent="0.3">
      <c r="A88" s="143"/>
      <c r="B88" s="144"/>
      <c r="C88" s="139"/>
      <c r="D88" s="140"/>
      <c r="E88" s="141"/>
      <c r="F88" s="8">
        <v>271</v>
      </c>
    </row>
    <row r="89" spans="1:6" x14ac:dyDescent="0.3">
      <c r="A89" s="143"/>
      <c r="B89" s="144"/>
      <c r="C89" s="139"/>
      <c r="D89" s="140">
        <v>274</v>
      </c>
      <c r="E89" s="141">
        <v>274</v>
      </c>
      <c r="F89" s="8">
        <v>274</v>
      </c>
    </row>
    <row r="90" spans="1:6" x14ac:dyDescent="0.3">
      <c r="A90" s="143"/>
      <c r="B90" s="144"/>
      <c r="C90" s="139"/>
      <c r="D90" s="140"/>
      <c r="E90" s="141"/>
      <c r="F90" s="8">
        <v>277</v>
      </c>
    </row>
    <row r="91" spans="1:6" x14ac:dyDescent="0.3">
      <c r="A91" s="143"/>
      <c r="B91" s="144"/>
      <c r="C91" s="139"/>
      <c r="D91" s="140"/>
      <c r="E91" s="141">
        <v>280</v>
      </c>
      <c r="F91" s="8">
        <v>280</v>
      </c>
    </row>
    <row r="92" spans="1:6" x14ac:dyDescent="0.3">
      <c r="A92" s="143"/>
      <c r="B92" s="144"/>
      <c r="C92" s="139"/>
      <c r="D92" s="140"/>
      <c r="E92" s="141"/>
      <c r="F92" s="8">
        <v>284</v>
      </c>
    </row>
    <row r="93" spans="1:6" x14ac:dyDescent="0.3">
      <c r="A93" s="143"/>
      <c r="B93" s="144"/>
      <c r="C93" s="139">
        <v>300</v>
      </c>
      <c r="D93" s="140">
        <v>287</v>
      </c>
      <c r="E93" s="141">
        <v>287</v>
      </c>
      <c r="F93" s="8">
        <v>287</v>
      </c>
    </row>
    <row r="94" spans="1:6" x14ac:dyDescent="0.3">
      <c r="A94" s="143"/>
      <c r="B94" s="144"/>
      <c r="C94" s="139"/>
      <c r="D94" s="140"/>
      <c r="E94" s="141"/>
      <c r="F94" s="8">
        <v>291</v>
      </c>
    </row>
    <row r="95" spans="1:6" x14ac:dyDescent="0.3">
      <c r="A95" s="143"/>
      <c r="B95" s="144"/>
      <c r="C95" s="139"/>
      <c r="D95" s="140"/>
      <c r="E95" s="141">
        <v>294</v>
      </c>
      <c r="F95" s="8">
        <v>294</v>
      </c>
    </row>
    <row r="96" spans="1:6" x14ac:dyDescent="0.3">
      <c r="A96" s="143"/>
      <c r="B96" s="144"/>
      <c r="C96" s="139"/>
      <c r="D96" s="140"/>
      <c r="E96" s="141"/>
      <c r="F96" s="8">
        <v>298</v>
      </c>
    </row>
    <row r="97" spans="1:6" x14ac:dyDescent="0.3">
      <c r="A97" s="143"/>
      <c r="B97" s="144"/>
      <c r="C97" s="139"/>
      <c r="D97" s="140">
        <v>301</v>
      </c>
      <c r="E97" s="141">
        <v>301</v>
      </c>
      <c r="F97" s="8">
        <v>301</v>
      </c>
    </row>
    <row r="98" spans="1:6" x14ac:dyDescent="0.3">
      <c r="A98" s="143"/>
      <c r="B98" s="144"/>
      <c r="C98" s="139"/>
      <c r="D98" s="140"/>
      <c r="E98" s="141"/>
      <c r="F98" s="8">
        <v>305</v>
      </c>
    </row>
    <row r="99" spans="1:6" x14ac:dyDescent="0.3">
      <c r="A99" s="143"/>
      <c r="B99" s="144"/>
      <c r="C99" s="139"/>
      <c r="D99" s="140"/>
      <c r="E99" s="141">
        <v>309</v>
      </c>
      <c r="F99" s="8">
        <v>309</v>
      </c>
    </row>
    <row r="100" spans="1:6" x14ac:dyDescent="0.3">
      <c r="A100" s="143"/>
      <c r="B100" s="144"/>
      <c r="C100" s="139"/>
      <c r="D100" s="140"/>
      <c r="E100" s="141"/>
      <c r="F100" s="8">
        <v>312</v>
      </c>
    </row>
    <row r="101" spans="1:6" x14ac:dyDescent="0.3">
      <c r="A101" s="143">
        <v>330</v>
      </c>
      <c r="B101" s="144">
        <v>330</v>
      </c>
      <c r="C101" s="139">
        <v>330</v>
      </c>
      <c r="D101" s="140">
        <v>316</v>
      </c>
      <c r="E101" s="141">
        <v>316</v>
      </c>
      <c r="F101" s="8">
        <v>316</v>
      </c>
    </row>
    <row r="102" spans="1:6" x14ac:dyDescent="0.3">
      <c r="A102" s="143"/>
      <c r="B102" s="144"/>
      <c r="C102" s="139"/>
      <c r="D102" s="140"/>
      <c r="E102" s="141"/>
      <c r="F102" s="8">
        <v>320</v>
      </c>
    </row>
    <row r="103" spans="1:6" x14ac:dyDescent="0.3">
      <c r="A103" s="143"/>
      <c r="B103" s="144"/>
      <c r="C103" s="139"/>
      <c r="D103" s="140"/>
      <c r="E103" s="141">
        <v>324</v>
      </c>
      <c r="F103" s="8">
        <v>324</v>
      </c>
    </row>
    <row r="104" spans="1:6" x14ac:dyDescent="0.3">
      <c r="A104" s="143"/>
      <c r="B104" s="144"/>
      <c r="C104" s="139"/>
      <c r="D104" s="140"/>
      <c r="E104" s="141"/>
      <c r="F104" s="8">
        <v>328</v>
      </c>
    </row>
    <row r="105" spans="1:6" x14ac:dyDescent="0.3">
      <c r="A105" s="143"/>
      <c r="B105" s="144"/>
      <c r="C105" s="139"/>
      <c r="D105" s="140">
        <v>332</v>
      </c>
      <c r="E105" s="141">
        <v>332</v>
      </c>
      <c r="F105" s="8">
        <v>332</v>
      </c>
    </row>
    <row r="106" spans="1:6" x14ac:dyDescent="0.3">
      <c r="A106" s="143"/>
      <c r="B106" s="144"/>
      <c r="C106" s="139"/>
      <c r="D106" s="140"/>
      <c r="E106" s="141"/>
      <c r="F106" s="8">
        <v>336</v>
      </c>
    </row>
    <row r="107" spans="1:6" x14ac:dyDescent="0.3">
      <c r="A107" s="143"/>
      <c r="B107" s="144"/>
      <c r="C107" s="139"/>
      <c r="D107" s="140"/>
      <c r="E107" s="141">
        <v>340</v>
      </c>
      <c r="F107" s="8">
        <v>340</v>
      </c>
    </row>
    <row r="108" spans="1:6" x14ac:dyDescent="0.3">
      <c r="A108" s="143"/>
      <c r="B108" s="144"/>
      <c r="C108" s="139"/>
      <c r="D108" s="140"/>
      <c r="E108" s="141"/>
      <c r="F108" s="8">
        <v>344</v>
      </c>
    </row>
    <row r="109" spans="1:6" x14ac:dyDescent="0.3">
      <c r="A109" s="143"/>
      <c r="B109" s="144"/>
      <c r="C109" s="139">
        <v>360</v>
      </c>
      <c r="D109" s="140">
        <v>348</v>
      </c>
      <c r="E109" s="141">
        <v>348</v>
      </c>
      <c r="F109" s="8">
        <v>348</v>
      </c>
    </row>
    <row r="110" spans="1:6" x14ac:dyDescent="0.3">
      <c r="A110" s="143"/>
      <c r="B110" s="144"/>
      <c r="C110" s="139"/>
      <c r="D110" s="140"/>
      <c r="E110" s="141"/>
      <c r="F110" s="8">
        <v>352</v>
      </c>
    </row>
    <row r="111" spans="1:6" x14ac:dyDescent="0.3">
      <c r="A111" s="143"/>
      <c r="B111" s="144"/>
      <c r="C111" s="139"/>
      <c r="D111" s="140"/>
      <c r="E111" s="141">
        <v>357</v>
      </c>
      <c r="F111" s="8">
        <v>357</v>
      </c>
    </row>
    <row r="112" spans="1:6" x14ac:dyDescent="0.3">
      <c r="A112" s="143"/>
      <c r="B112" s="144"/>
      <c r="C112" s="139"/>
      <c r="D112" s="140"/>
      <c r="E112" s="141"/>
      <c r="F112" s="8">
        <v>361</v>
      </c>
    </row>
    <row r="113" spans="1:6" x14ac:dyDescent="0.3">
      <c r="A113" s="143"/>
      <c r="B113" s="144"/>
      <c r="C113" s="139"/>
      <c r="D113" s="140">
        <v>365</v>
      </c>
      <c r="E113" s="141">
        <v>365</v>
      </c>
      <c r="F113" s="8">
        <v>365</v>
      </c>
    </row>
    <row r="114" spans="1:6" x14ac:dyDescent="0.3">
      <c r="A114" s="143"/>
      <c r="B114" s="144"/>
      <c r="C114" s="139"/>
      <c r="D114" s="140"/>
      <c r="E114" s="141"/>
      <c r="F114" s="8">
        <v>370</v>
      </c>
    </row>
    <row r="115" spans="1:6" x14ac:dyDescent="0.3">
      <c r="A115" s="143"/>
      <c r="B115" s="144"/>
      <c r="C115" s="139"/>
      <c r="D115" s="140"/>
      <c r="E115" s="141">
        <v>374</v>
      </c>
      <c r="F115" s="8">
        <v>374</v>
      </c>
    </row>
    <row r="116" spans="1:6" x14ac:dyDescent="0.3">
      <c r="A116" s="143"/>
      <c r="B116" s="144"/>
      <c r="C116" s="139"/>
      <c r="D116" s="140"/>
      <c r="E116" s="141"/>
      <c r="F116" s="8">
        <v>379</v>
      </c>
    </row>
    <row r="117" spans="1:6" x14ac:dyDescent="0.3">
      <c r="A117" s="143"/>
      <c r="B117" s="144">
        <v>390</v>
      </c>
      <c r="C117" s="139">
        <v>390</v>
      </c>
      <c r="D117" s="140">
        <v>383</v>
      </c>
      <c r="E117" s="141">
        <v>383</v>
      </c>
      <c r="F117" s="8">
        <v>383</v>
      </c>
    </row>
    <row r="118" spans="1:6" x14ac:dyDescent="0.3">
      <c r="A118" s="143"/>
      <c r="B118" s="144"/>
      <c r="C118" s="139"/>
      <c r="D118" s="140"/>
      <c r="E118" s="141"/>
      <c r="F118" s="8">
        <v>388</v>
      </c>
    </row>
    <row r="119" spans="1:6" x14ac:dyDescent="0.3">
      <c r="A119" s="143"/>
      <c r="B119" s="144"/>
      <c r="C119" s="139"/>
      <c r="D119" s="140"/>
      <c r="E119" s="141">
        <v>392</v>
      </c>
      <c r="F119" s="8">
        <v>392</v>
      </c>
    </row>
    <row r="120" spans="1:6" x14ac:dyDescent="0.3">
      <c r="A120" s="143"/>
      <c r="B120" s="144"/>
      <c r="C120" s="139"/>
      <c r="D120" s="140"/>
      <c r="E120" s="141"/>
      <c r="F120" s="8">
        <v>397</v>
      </c>
    </row>
    <row r="121" spans="1:6" x14ac:dyDescent="0.3">
      <c r="A121" s="143"/>
      <c r="B121" s="144"/>
      <c r="C121" s="139"/>
      <c r="D121" s="140">
        <v>402</v>
      </c>
      <c r="E121" s="141">
        <v>402</v>
      </c>
      <c r="F121" s="8">
        <v>402</v>
      </c>
    </row>
    <row r="122" spans="1:6" x14ac:dyDescent="0.3">
      <c r="A122" s="143"/>
      <c r="B122" s="144"/>
      <c r="C122" s="139"/>
      <c r="D122" s="140"/>
      <c r="E122" s="141"/>
      <c r="F122" s="8">
        <v>407</v>
      </c>
    </row>
    <row r="123" spans="1:6" x14ac:dyDescent="0.3">
      <c r="A123" s="143"/>
      <c r="B123" s="144"/>
      <c r="C123" s="139"/>
      <c r="D123" s="140"/>
      <c r="E123" s="141">
        <v>412</v>
      </c>
      <c r="F123" s="8">
        <v>412</v>
      </c>
    </row>
    <row r="124" spans="1:6" x14ac:dyDescent="0.3">
      <c r="A124" s="143"/>
      <c r="B124" s="144"/>
      <c r="C124" s="139"/>
      <c r="D124" s="140"/>
      <c r="E124" s="141"/>
      <c r="F124" s="8">
        <v>417</v>
      </c>
    </row>
    <row r="125" spans="1:6" x14ac:dyDescent="0.3">
      <c r="A125" s="143"/>
      <c r="B125" s="144"/>
      <c r="C125" s="139">
        <v>430</v>
      </c>
      <c r="D125" s="140">
        <v>422</v>
      </c>
      <c r="E125" s="141">
        <v>422</v>
      </c>
      <c r="F125" s="8">
        <v>422</v>
      </c>
    </row>
    <row r="126" spans="1:6" x14ac:dyDescent="0.3">
      <c r="A126" s="143"/>
      <c r="B126" s="144"/>
      <c r="C126" s="139"/>
      <c r="D126" s="140"/>
      <c r="E126" s="141"/>
      <c r="F126" s="8">
        <v>427</v>
      </c>
    </row>
    <row r="127" spans="1:6" x14ac:dyDescent="0.3">
      <c r="A127" s="143"/>
      <c r="B127" s="144"/>
      <c r="C127" s="139"/>
      <c r="D127" s="140"/>
      <c r="E127" s="141">
        <v>432</v>
      </c>
      <c r="F127" s="8">
        <v>432</v>
      </c>
    </row>
    <row r="128" spans="1:6" x14ac:dyDescent="0.3">
      <c r="A128" s="143"/>
      <c r="B128" s="144"/>
      <c r="C128" s="139"/>
      <c r="D128" s="140"/>
      <c r="E128" s="141"/>
      <c r="F128" s="8">
        <v>437</v>
      </c>
    </row>
    <row r="129" spans="1:6" x14ac:dyDescent="0.3">
      <c r="A129" s="143"/>
      <c r="B129" s="144"/>
      <c r="C129" s="139"/>
      <c r="D129" s="140">
        <v>442</v>
      </c>
      <c r="E129" s="141">
        <v>442</v>
      </c>
      <c r="F129" s="8">
        <v>442</v>
      </c>
    </row>
    <row r="130" spans="1:6" x14ac:dyDescent="0.3">
      <c r="A130" s="143"/>
      <c r="B130" s="144"/>
      <c r="C130" s="139"/>
      <c r="D130" s="140"/>
      <c r="E130" s="141"/>
      <c r="F130" s="8">
        <v>448</v>
      </c>
    </row>
    <row r="131" spans="1:6" x14ac:dyDescent="0.3">
      <c r="A131" s="143"/>
      <c r="B131" s="144"/>
      <c r="C131" s="139"/>
      <c r="D131" s="140"/>
      <c r="E131" s="141">
        <v>453</v>
      </c>
      <c r="F131" s="8">
        <v>453</v>
      </c>
    </row>
    <row r="132" spans="1:6" x14ac:dyDescent="0.3">
      <c r="A132" s="143"/>
      <c r="B132" s="144"/>
      <c r="C132" s="139"/>
      <c r="D132" s="140"/>
      <c r="E132" s="141"/>
      <c r="F132" s="8">
        <v>459</v>
      </c>
    </row>
    <row r="133" spans="1:6" x14ac:dyDescent="0.3">
      <c r="A133" s="143">
        <v>470</v>
      </c>
      <c r="B133" s="144">
        <v>470</v>
      </c>
      <c r="C133" s="139">
        <v>470</v>
      </c>
      <c r="D133" s="140">
        <v>464</v>
      </c>
      <c r="E133" s="141">
        <v>464</v>
      </c>
      <c r="F133" s="8">
        <v>464</v>
      </c>
    </row>
    <row r="134" spans="1:6" x14ac:dyDescent="0.3">
      <c r="A134" s="143"/>
      <c r="B134" s="144"/>
      <c r="C134" s="139"/>
      <c r="D134" s="140"/>
      <c r="E134" s="141"/>
      <c r="F134" s="8">
        <v>470</v>
      </c>
    </row>
    <row r="135" spans="1:6" x14ac:dyDescent="0.3">
      <c r="A135" s="143"/>
      <c r="B135" s="144"/>
      <c r="C135" s="139"/>
      <c r="D135" s="140"/>
      <c r="E135" s="141">
        <v>475</v>
      </c>
      <c r="F135" s="8">
        <v>475</v>
      </c>
    </row>
    <row r="136" spans="1:6" x14ac:dyDescent="0.3">
      <c r="A136" s="143"/>
      <c r="B136" s="144"/>
      <c r="C136" s="139"/>
      <c r="D136" s="140"/>
      <c r="E136" s="141"/>
      <c r="F136" s="8">
        <v>481</v>
      </c>
    </row>
    <row r="137" spans="1:6" x14ac:dyDescent="0.3">
      <c r="A137" s="143"/>
      <c r="B137" s="144"/>
      <c r="C137" s="139"/>
      <c r="D137" s="140">
        <v>487</v>
      </c>
      <c r="E137" s="141">
        <v>487</v>
      </c>
      <c r="F137" s="8">
        <v>487</v>
      </c>
    </row>
    <row r="138" spans="1:6" x14ac:dyDescent="0.3">
      <c r="A138" s="143"/>
      <c r="B138" s="144"/>
      <c r="C138" s="139"/>
      <c r="D138" s="140"/>
      <c r="E138" s="141"/>
      <c r="F138" s="8">
        <v>493</v>
      </c>
    </row>
    <row r="139" spans="1:6" x14ac:dyDescent="0.3">
      <c r="A139" s="143"/>
      <c r="B139" s="144"/>
      <c r="C139" s="139"/>
      <c r="D139" s="140"/>
      <c r="E139" s="141">
        <v>499</v>
      </c>
      <c r="F139" s="8">
        <v>499</v>
      </c>
    </row>
    <row r="140" spans="1:6" x14ac:dyDescent="0.3">
      <c r="A140" s="143"/>
      <c r="B140" s="144"/>
      <c r="C140" s="139"/>
      <c r="D140" s="140"/>
      <c r="E140" s="141"/>
      <c r="F140" s="8">
        <v>505</v>
      </c>
    </row>
    <row r="141" spans="1:6" x14ac:dyDescent="0.3">
      <c r="A141" s="143"/>
      <c r="B141" s="144"/>
      <c r="C141" s="139">
        <v>510</v>
      </c>
      <c r="D141" s="140">
        <v>511</v>
      </c>
      <c r="E141" s="141">
        <v>511</v>
      </c>
      <c r="F141" s="8">
        <v>511</v>
      </c>
    </row>
    <row r="142" spans="1:6" x14ac:dyDescent="0.3">
      <c r="A142" s="143"/>
      <c r="B142" s="144"/>
      <c r="C142" s="139"/>
      <c r="D142" s="140"/>
      <c r="E142" s="141"/>
      <c r="F142" s="8">
        <v>517</v>
      </c>
    </row>
    <row r="143" spans="1:6" x14ac:dyDescent="0.3">
      <c r="A143" s="143"/>
      <c r="B143" s="144"/>
      <c r="C143" s="139"/>
      <c r="D143" s="140"/>
      <c r="E143" s="141">
        <v>523</v>
      </c>
      <c r="F143" s="8">
        <v>523</v>
      </c>
    </row>
    <row r="144" spans="1:6" x14ac:dyDescent="0.3">
      <c r="A144" s="143"/>
      <c r="B144" s="144"/>
      <c r="C144" s="139"/>
      <c r="D144" s="140"/>
      <c r="E144" s="141"/>
      <c r="F144" s="8">
        <v>530</v>
      </c>
    </row>
    <row r="145" spans="1:6" x14ac:dyDescent="0.3">
      <c r="A145" s="143"/>
      <c r="B145" s="144"/>
      <c r="C145" s="139"/>
      <c r="D145" s="140">
        <v>536</v>
      </c>
      <c r="E145" s="141">
        <v>536</v>
      </c>
      <c r="F145" s="8">
        <v>536</v>
      </c>
    </row>
    <row r="146" spans="1:6" x14ac:dyDescent="0.3">
      <c r="A146" s="143"/>
      <c r="B146" s="144"/>
      <c r="C146" s="139"/>
      <c r="D146" s="140"/>
      <c r="E146" s="141"/>
      <c r="F146" s="8">
        <v>542</v>
      </c>
    </row>
    <row r="147" spans="1:6" x14ac:dyDescent="0.3">
      <c r="A147" s="143"/>
      <c r="B147" s="144"/>
      <c r="C147" s="139"/>
      <c r="D147" s="140"/>
      <c r="E147" s="141">
        <v>549</v>
      </c>
      <c r="F147" s="8">
        <v>549</v>
      </c>
    </row>
    <row r="148" spans="1:6" x14ac:dyDescent="0.3">
      <c r="A148" s="143"/>
      <c r="B148" s="144"/>
      <c r="C148" s="139"/>
      <c r="D148" s="140"/>
      <c r="E148" s="141"/>
      <c r="F148" s="8">
        <v>556</v>
      </c>
    </row>
    <row r="149" spans="1:6" x14ac:dyDescent="0.3">
      <c r="A149" s="143"/>
      <c r="B149" s="144">
        <v>560</v>
      </c>
      <c r="C149" s="139">
        <v>560</v>
      </c>
      <c r="D149" s="140">
        <v>562</v>
      </c>
      <c r="E149" s="141">
        <v>562</v>
      </c>
      <c r="F149" s="8">
        <v>562</v>
      </c>
    </row>
    <row r="150" spans="1:6" x14ac:dyDescent="0.3">
      <c r="A150" s="143"/>
      <c r="B150" s="144"/>
      <c r="C150" s="139"/>
      <c r="D150" s="140"/>
      <c r="E150" s="141"/>
      <c r="F150" s="8">
        <v>569</v>
      </c>
    </row>
    <row r="151" spans="1:6" x14ac:dyDescent="0.3">
      <c r="A151" s="143"/>
      <c r="B151" s="144"/>
      <c r="C151" s="139"/>
      <c r="D151" s="140"/>
      <c r="E151" s="141">
        <v>576</v>
      </c>
      <c r="F151" s="8">
        <v>576</v>
      </c>
    </row>
    <row r="152" spans="1:6" x14ac:dyDescent="0.3">
      <c r="A152" s="143"/>
      <c r="B152" s="144"/>
      <c r="C152" s="139"/>
      <c r="D152" s="140"/>
      <c r="E152" s="141"/>
      <c r="F152" s="8">
        <v>583</v>
      </c>
    </row>
    <row r="153" spans="1:6" x14ac:dyDescent="0.3">
      <c r="A153" s="143"/>
      <c r="B153" s="144"/>
      <c r="C153" s="139"/>
      <c r="D153" s="140">
        <v>590</v>
      </c>
      <c r="E153" s="141">
        <v>590</v>
      </c>
      <c r="F153" s="8">
        <v>590</v>
      </c>
    </row>
    <row r="154" spans="1:6" x14ac:dyDescent="0.3">
      <c r="A154" s="143"/>
      <c r="B154" s="144"/>
      <c r="C154" s="139"/>
      <c r="D154" s="140"/>
      <c r="E154" s="141"/>
      <c r="F154" s="8">
        <v>597</v>
      </c>
    </row>
    <row r="155" spans="1:6" x14ac:dyDescent="0.3">
      <c r="A155" s="143"/>
      <c r="B155" s="144"/>
      <c r="C155" s="139"/>
      <c r="D155" s="140"/>
      <c r="E155" s="141">
        <v>604</v>
      </c>
      <c r="F155" s="8">
        <v>604</v>
      </c>
    </row>
    <row r="156" spans="1:6" x14ac:dyDescent="0.3">
      <c r="A156" s="143"/>
      <c r="B156" s="144"/>
      <c r="C156" s="139"/>
      <c r="D156" s="140"/>
      <c r="E156" s="141"/>
      <c r="F156" s="8">
        <v>612</v>
      </c>
    </row>
    <row r="157" spans="1:6" x14ac:dyDescent="0.3">
      <c r="A157" s="143"/>
      <c r="B157" s="144"/>
      <c r="C157" s="139">
        <v>620</v>
      </c>
      <c r="D157" s="140">
        <v>619</v>
      </c>
      <c r="E157" s="141">
        <v>619</v>
      </c>
      <c r="F157" s="8">
        <v>619</v>
      </c>
    </row>
    <row r="158" spans="1:6" x14ac:dyDescent="0.3">
      <c r="A158" s="143"/>
      <c r="B158" s="144"/>
      <c r="C158" s="139"/>
      <c r="D158" s="140"/>
      <c r="E158" s="141"/>
      <c r="F158" s="8">
        <v>626</v>
      </c>
    </row>
    <row r="159" spans="1:6" x14ac:dyDescent="0.3">
      <c r="A159" s="143"/>
      <c r="B159" s="144"/>
      <c r="C159" s="139"/>
      <c r="D159" s="140"/>
      <c r="E159" s="141">
        <v>634</v>
      </c>
      <c r="F159" s="8">
        <v>634</v>
      </c>
    </row>
    <row r="160" spans="1:6" x14ac:dyDescent="0.3">
      <c r="A160" s="143"/>
      <c r="B160" s="144"/>
      <c r="C160" s="139"/>
      <c r="D160" s="140"/>
      <c r="E160" s="141"/>
      <c r="F160" s="8">
        <v>642</v>
      </c>
    </row>
    <row r="161" spans="1:6" x14ac:dyDescent="0.3">
      <c r="A161" s="143"/>
      <c r="B161" s="144"/>
      <c r="C161" s="139"/>
      <c r="D161" s="140">
        <v>649</v>
      </c>
      <c r="E161" s="141">
        <v>649</v>
      </c>
      <c r="F161" s="8">
        <v>649</v>
      </c>
    </row>
    <row r="162" spans="1:6" x14ac:dyDescent="0.3">
      <c r="A162" s="143"/>
      <c r="B162" s="144"/>
      <c r="C162" s="139"/>
      <c r="D162" s="140"/>
      <c r="E162" s="141"/>
      <c r="F162" s="8">
        <v>657</v>
      </c>
    </row>
    <row r="163" spans="1:6" x14ac:dyDescent="0.3">
      <c r="A163" s="143"/>
      <c r="B163" s="144"/>
      <c r="C163" s="139"/>
      <c r="D163" s="140"/>
      <c r="E163" s="141">
        <v>665</v>
      </c>
      <c r="F163" s="8">
        <v>665</v>
      </c>
    </row>
    <row r="164" spans="1:6" x14ac:dyDescent="0.3">
      <c r="A164" s="143"/>
      <c r="B164" s="144"/>
      <c r="C164" s="139"/>
      <c r="D164" s="140"/>
      <c r="E164" s="141"/>
      <c r="F164" s="8">
        <v>673</v>
      </c>
    </row>
    <row r="165" spans="1:6" x14ac:dyDescent="0.3">
      <c r="A165" s="143">
        <v>680</v>
      </c>
      <c r="B165" s="144">
        <v>680</v>
      </c>
      <c r="C165" s="139">
        <v>680</v>
      </c>
      <c r="D165" s="140">
        <v>681</v>
      </c>
      <c r="E165" s="141">
        <v>681</v>
      </c>
      <c r="F165" s="8">
        <v>681</v>
      </c>
    </row>
    <row r="166" spans="1:6" x14ac:dyDescent="0.3">
      <c r="A166" s="143"/>
      <c r="B166" s="144"/>
      <c r="C166" s="139"/>
      <c r="D166" s="140"/>
      <c r="E166" s="141"/>
      <c r="F166" s="8">
        <v>690</v>
      </c>
    </row>
    <row r="167" spans="1:6" x14ac:dyDescent="0.3">
      <c r="A167" s="143"/>
      <c r="B167" s="144"/>
      <c r="C167" s="139"/>
      <c r="D167" s="140"/>
      <c r="E167" s="141">
        <v>698</v>
      </c>
      <c r="F167" s="8">
        <v>698</v>
      </c>
    </row>
    <row r="168" spans="1:6" x14ac:dyDescent="0.3">
      <c r="A168" s="143"/>
      <c r="B168" s="144"/>
      <c r="C168" s="139"/>
      <c r="D168" s="140"/>
      <c r="E168" s="141"/>
      <c r="F168" s="8">
        <v>706</v>
      </c>
    </row>
    <row r="169" spans="1:6" x14ac:dyDescent="0.3">
      <c r="A169" s="143"/>
      <c r="B169" s="144"/>
      <c r="C169" s="139"/>
      <c r="D169" s="140">
        <v>715</v>
      </c>
      <c r="E169" s="141">
        <v>715</v>
      </c>
      <c r="F169" s="8">
        <v>715</v>
      </c>
    </row>
    <row r="170" spans="1:6" x14ac:dyDescent="0.3">
      <c r="A170" s="143"/>
      <c r="B170" s="144"/>
      <c r="C170" s="139"/>
      <c r="D170" s="140"/>
      <c r="E170" s="141"/>
      <c r="F170" s="8">
        <v>723</v>
      </c>
    </row>
    <row r="171" spans="1:6" x14ac:dyDescent="0.3">
      <c r="A171" s="143"/>
      <c r="B171" s="144"/>
      <c r="C171" s="139"/>
      <c r="D171" s="140"/>
      <c r="E171" s="141">
        <v>732</v>
      </c>
      <c r="F171" s="8">
        <v>732</v>
      </c>
    </row>
    <row r="172" spans="1:6" x14ac:dyDescent="0.3">
      <c r="A172" s="143"/>
      <c r="B172" s="144"/>
      <c r="C172" s="139"/>
      <c r="D172" s="140"/>
      <c r="E172" s="141"/>
      <c r="F172" s="8">
        <v>741</v>
      </c>
    </row>
    <row r="173" spans="1:6" x14ac:dyDescent="0.3">
      <c r="A173" s="143"/>
      <c r="B173" s="144"/>
      <c r="C173" s="139">
        <v>750</v>
      </c>
      <c r="D173" s="140">
        <v>750</v>
      </c>
      <c r="E173" s="141">
        <v>750</v>
      </c>
      <c r="F173" s="8">
        <v>750</v>
      </c>
    </row>
    <row r="174" spans="1:6" x14ac:dyDescent="0.3">
      <c r="A174" s="143"/>
      <c r="B174" s="144"/>
      <c r="C174" s="139"/>
      <c r="D174" s="140"/>
      <c r="E174" s="141"/>
      <c r="F174" s="8">
        <v>759</v>
      </c>
    </row>
    <row r="175" spans="1:6" x14ac:dyDescent="0.3">
      <c r="A175" s="143"/>
      <c r="B175" s="144"/>
      <c r="C175" s="139"/>
      <c r="D175" s="140"/>
      <c r="E175" s="141">
        <v>768</v>
      </c>
      <c r="F175" s="8">
        <v>768</v>
      </c>
    </row>
    <row r="176" spans="1:6" x14ac:dyDescent="0.3">
      <c r="A176" s="143"/>
      <c r="B176" s="144"/>
      <c r="C176" s="139"/>
      <c r="D176" s="140"/>
      <c r="E176" s="141"/>
      <c r="F176" s="8">
        <v>777</v>
      </c>
    </row>
    <row r="177" spans="1:6" x14ac:dyDescent="0.3">
      <c r="A177" s="143"/>
      <c r="B177" s="144"/>
      <c r="C177" s="139"/>
      <c r="D177" s="140">
        <v>787</v>
      </c>
      <c r="E177" s="141">
        <v>787</v>
      </c>
      <c r="F177" s="8">
        <v>787</v>
      </c>
    </row>
    <row r="178" spans="1:6" x14ac:dyDescent="0.3">
      <c r="A178" s="143"/>
      <c r="B178" s="144"/>
      <c r="C178" s="139"/>
      <c r="D178" s="140"/>
      <c r="E178" s="141"/>
      <c r="F178" s="8">
        <v>796</v>
      </c>
    </row>
    <row r="179" spans="1:6" x14ac:dyDescent="0.3">
      <c r="A179" s="143"/>
      <c r="B179" s="144"/>
      <c r="C179" s="139"/>
      <c r="D179" s="140"/>
      <c r="E179" s="141">
        <v>806</v>
      </c>
      <c r="F179" s="8">
        <v>806</v>
      </c>
    </row>
    <row r="180" spans="1:6" x14ac:dyDescent="0.3">
      <c r="A180" s="143"/>
      <c r="B180" s="144"/>
      <c r="C180" s="139"/>
      <c r="D180" s="140"/>
      <c r="E180" s="141"/>
      <c r="F180" s="8">
        <v>816</v>
      </c>
    </row>
    <row r="181" spans="1:6" x14ac:dyDescent="0.3">
      <c r="A181" s="143"/>
      <c r="B181" s="144">
        <v>820</v>
      </c>
      <c r="C181" s="139">
        <v>820</v>
      </c>
      <c r="D181" s="140">
        <v>825</v>
      </c>
      <c r="E181" s="141">
        <v>825</v>
      </c>
      <c r="F181" s="8">
        <v>825</v>
      </c>
    </row>
    <row r="182" spans="1:6" x14ac:dyDescent="0.3">
      <c r="A182" s="143"/>
      <c r="B182" s="144"/>
      <c r="C182" s="139"/>
      <c r="D182" s="140"/>
      <c r="E182" s="141"/>
      <c r="F182" s="8">
        <v>835</v>
      </c>
    </row>
    <row r="183" spans="1:6" x14ac:dyDescent="0.3">
      <c r="A183" s="143"/>
      <c r="B183" s="144"/>
      <c r="C183" s="139"/>
      <c r="D183" s="140"/>
      <c r="E183" s="141">
        <v>845</v>
      </c>
      <c r="F183" s="8">
        <v>845</v>
      </c>
    </row>
    <row r="184" spans="1:6" x14ac:dyDescent="0.3">
      <c r="A184" s="143"/>
      <c r="B184" s="144"/>
      <c r="C184" s="139"/>
      <c r="D184" s="140"/>
      <c r="E184" s="141"/>
      <c r="F184" s="8">
        <v>856</v>
      </c>
    </row>
    <row r="185" spans="1:6" x14ac:dyDescent="0.3">
      <c r="A185" s="143"/>
      <c r="B185" s="144"/>
      <c r="C185" s="139"/>
      <c r="D185" s="140">
        <v>866</v>
      </c>
      <c r="E185" s="141">
        <v>866</v>
      </c>
      <c r="F185" s="8">
        <v>866</v>
      </c>
    </row>
    <row r="186" spans="1:6" x14ac:dyDescent="0.3">
      <c r="A186" s="143"/>
      <c r="B186" s="144"/>
      <c r="C186" s="139"/>
      <c r="D186" s="140"/>
      <c r="E186" s="141"/>
      <c r="F186" s="8">
        <v>876</v>
      </c>
    </row>
    <row r="187" spans="1:6" x14ac:dyDescent="0.3">
      <c r="A187" s="143"/>
      <c r="B187" s="144"/>
      <c r="C187" s="139"/>
      <c r="D187" s="140"/>
      <c r="E187" s="141">
        <v>887</v>
      </c>
      <c r="F187" s="8">
        <v>887</v>
      </c>
    </row>
    <row r="188" spans="1:6" x14ac:dyDescent="0.3">
      <c r="A188" s="143"/>
      <c r="B188" s="144"/>
      <c r="C188" s="139"/>
      <c r="D188" s="140"/>
      <c r="E188" s="141"/>
      <c r="F188" s="8">
        <v>898</v>
      </c>
    </row>
    <row r="189" spans="1:6" x14ac:dyDescent="0.3">
      <c r="A189" s="143"/>
      <c r="B189" s="144"/>
      <c r="C189" s="139">
        <v>910</v>
      </c>
      <c r="D189" s="140">
        <v>909</v>
      </c>
      <c r="E189" s="141">
        <v>909</v>
      </c>
      <c r="F189" s="8">
        <v>909</v>
      </c>
    </row>
    <row r="190" spans="1:6" x14ac:dyDescent="0.3">
      <c r="A190" s="143"/>
      <c r="B190" s="144"/>
      <c r="C190" s="139"/>
      <c r="D190" s="140"/>
      <c r="E190" s="141"/>
      <c r="F190" s="8">
        <v>920</v>
      </c>
    </row>
    <row r="191" spans="1:6" x14ac:dyDescent="0.3">
      <c r="A191" s="143"/>
      <c r="B191" s="144"/>
      <c r="C191" s="139"/>
      <c r="D191" s="140"/>
      <c r="E191" s="141">
        <v>931</v>
      </c>
      <c r="F191" s="8">
        <v>931</v>
      </c>
    </row>
    <row r="192" spans="1:6" x14ac:dyDescent="0.3">
      <c r="A192" s="143"/>
      <c r="B192" s="144"/>
      <c r="C192" s="139"/>
      <c r="D192" s="140"/>
      <c r="E192" s="141"/>
      <c r="F192" s="8">
        <v>942</v>
      </c>
    </row>
    <row r="193" spans="1:6" x14ac:dyDescent="0.3">
      <c r="A193" s="143"/>
      <c r="B193" s="144"/>
      <c r="C193" s="139"/>
      <c r="D193" s="140">
        <v>953</v>
      </c>
      <c r="E193" s="141">
        <v>953</v>
      </c>
      <c r="F193" s="8">
        <v>953</v>
      </c>
    </row>
    <row r="194" spans="1:6" x14ac:dyDescent="0.3">
      <c r="A194" s="143"/>
      <c r="B194" s="144"/>
      <c r="C194" s="139"/>
      <c r="D194" s="140"/>
      <c r="E194" s="141"/>
      <c r="F194" s="8">
        <v>965</v>
      </c>
    </row>
    <row r="195" spans="1:6" x14ac:dyDescent="0.3">
      <c r="A195" s="143"/>
      <c r="B195" s="144"/>
      <c r="C195" s="139"/>
      <c r="D195" s="140"/>
      <c r="E195" s="141">
        <v>976</v>
      </c>
      <c r="F195" s="8">
        <v>976</v>
      </c>
    </row>
    <row r="196" spans="1:6" x14ac:dyDescent="0.3">
      <c r="A196" s="143"/>
      <c r="B196" s="144"/>
      <c r="C196" s="139"/>
      <c r="D196" s="140"/>
      <c r="E196" s="141"/>
      <c r="F196" s="8">
        <v>988</v>
      </c>
    </row>
  </sheetData>
  <sheetProtection password="8553" sheet="1" objects="1" scenarios="1"/>
  <mergeCells count="187">
    <mergeCell ref="E177:E178"/>
    <mergeCell ref="D189:D192"/>
    <mergeCell ref="E189:E190"/>
    <mergeCell ref="E191:E192"/>
    <mergeCell ref="D193:D196"/>
    <mergeCell ref="E193:E194"/>
    <mergeCell ref="E195:E196"/>
    <mergeCell ref="E179:E180"/>
    <mergeCell ref="B181:B196"/>
    <mergeCell ref="C181:C188"/>
    <mergeCell ref="D181:D184"/>
    <mergeCell ref="E181:E182"/>
    <mergeCell ref="E183:E184"/>
    <mergeCell ref="D185:D188"/>
    <mergeCell ref="E185:E186"/>
    <mergeCell ref="E187:E188"/>
    <mergeCell ref="C189:C196"/>
    <mergeCell ref="A165:A196"/>
    <mergeCell ref="B165:B180"/>
    <mergeCell ref="C165:C172"/>
    <mergeCell ref="D165:D168"/>
    <mergeCell ref="E165:E166"/>
    <mergeCell ref="B149:B164"/>
    <mergeCell ref="C149:C156"/>
    <mergeCell ref="D149:D152"/>
    <mergeCell ref="E149:E150"/>
    <mergeCell ref="E151:E152"/>
    <mergeCell ref="D153:D156"/>
    <mergeCell ref="E153:E154"/>
    <mergeCell ref="E155:E156"/>
    <mergeCell ref="C157:C164"/>
    <mergeCell ref="D157:D160"/>
    <mergeCell ref="E167:E168"/>
    <mergeCell ref="D169:D172"/>
    <mergeCell ref="E169:E170"/>
    <mergeCell ref="E171:E172"/>
    <mergeCell ref="C173:C180"/>
    <mergeCell ref="D173:D176"/>
    <mergeCell ref="E173:E174"/>
    <mergeCell ref="E175:E176"/>
    <mergeCell ref="D177:D180"/>
    <mergeCell ref="D141:D144"/>
    <mergeCell ref="E141:E142"/>
    <mergeCell ref="E143:E144"/>
    <mergeCell ref="D145:D148"/>
    <mergeCell ref="E145:E146"/>
    <mergeCell ref="E147:E148"/>
    <mergeCell ref="A133:A164"/>
    <mergeCell ref="B133:B148"/>
    <mergeCell ref="C133:C140"/>
    <mergeCell ref="D133:D136"/>
    <mergeCell ref="E133:E134"/>
    <mergeCell ref="E135:E136"/>
    <mergeCell ref="D137:D140"/>
    <mergeCell ref="E137:E138"/>
    <mergeCell ref="E139:E140"/>
    <mergeCell ref="C141:C148"/>
    <mergeCell ref="E157:E158"/>
    <mergeCell ref="E159:E160"/>
    <mergeCell ref="D161:D164"/>
    <mergeCell ref="E161:E162"/>
    <mergeCell ref="E163:E164"/>
    <mergeCell ref="E113:E114"/>
    <mergeCell ref="D125:D128"/>
    <mergeCell ref="E125:E126"/>
    <mergeCell ref="E127:E128"/>
    <mergeCell ref="D129:D132"/>
    <mergeCell ref="E129:E130"/>
    <mergeCell ref="E131:E132"/>
    <mergeCell ref="E115:E116"/>
    <mergeCell ref="B117:B132"/>
    <mergeCell ref="C117:C124"/>
    <mergeCell ref="D117:D120"/>
    <mergeCell ref="E117:E118"/>
    <mergeCell ref="E119:E120"/>
    <mergeCell ref="D121:D124"/>
    <mergeCell ref="E121:E122"/>
    <mergeCell ref="E123:E124"/>
    <mergeCell ref="C125:C132"/>
    <mergeCell ref="A101:A132"/>
    <mergeCell ref="B101:B116"/>
    <mergeCell ref="C101:C108"/>
    <mergeCell ref="D101:D104"/>
    <mergeCell ref="E101:E102"/>
    <mergeCell ref="B85:B100"/>
    <mergeCell ref="C85:C92"/>
    <mergeCell ref="D85:D88"/>
    <mergeCell ref="E85:E86"/>
    <mergeCell ref="E87:E88"/>
    <mergeCell ref="D89:D92"/>
    <mergeCell ref="E89:E90"/>
    <mergeCell ref="E91:E92"/>
    <mergeCell ref="C93:C100"/>
    <mergeCell ref="D93:D96"/>
    <mergeCell ref="E103:E104"/>
    <mergeCell ref="D105:D108"/>
    <mergeCell ref="E105:E106"/>
    <mergeCell ref="E107:E108"/>
    <mergeCell ref="C109:C116"/>
    <mergeCell ref="D109:D112"/>
    <mergeCell ref="E109:E110"/>
    <mergeCell ref="E111:E112"/>
    <mergeCell ref="D113:D116"/>
    <mergeCell ref="D77:D80"/>
    <mergeCell ref="E77:E78"/>
    <mergeCell ref="E79:E80"/>
    <mergeCell ref="D81:D84"/>
    <mergeCell ref="E81:E82"/>
    <mergeCell ref="E83:E84"/>
    <mergeCell ref="A69:A100"/>
    <mergeCell ref="B69:B84"/>
    <mergeCell ref="C69:C76"/>
    <mergeCell ref="D69:D72"/>
    <mergeCell ref="E69:E70"/>
    <mergeCell ref="E71:E72"/>
    <mergeCell ref="D73:D76"/>
    <mergeCell ref="E73:E74"/>
    <mergeCell ref="E75:E76"/>
    <mergeCell ref="C77:C84"/>
    <mergeCell ref="E93:E94"/>
    <mergeCell ref="E95:E96"/>
    <mergeCell ref="D97:D100"/>
    <mergeCell ref="E97:E98"/>
    <mergeCell ref="E99:E100"/>
    <mergeCell ref="E49:E50"/>
    <mergeCell ref="D61:D64"/>
    <mergeCell ref="E61:E62"/>
    <mergeCell ref="E63:E64"/>
    <mergeCell ref="D65:D68"/>
    <mergeCell ref="E65:E66"/>
    <mergeCell ref="E67:E68"/>
    <mergeCell ref="E51:E52"/>
    <mergeCell ref="B53:B68"/>
    <mergeCell ref="C53:C60"/>
    <mergeCell ref="D53:D56"/>
    <mergeCell ref="E53:E54"/>
    <mergeCell ref="E55:E56"/>
    <mergeCell ref="D57:D60"/>
    <mergeCell ref="E57:E58"/>
    <mergeCell ref="E59:E60"/>
    <mergeCell ref="C61:C68"/>
    <mergeCell ref="A37:A68"/>
    <mergeCell ref="B37:B52"/>
    <mergeCell ref="C37:C44"/>
    <mergeCell ref="D37:D40"/>
    <mergeCell ref="E37:E38"/>
    <mergeCell ref="B21:B36"/>
    <mergeCell ref="C21:C28"/>
    <mergeCell ref="D21:D24"/>
    <mergeCell ref="E21:E22"/>
    <mergeCell ref="E23:E24"/>
    <mergeCell ref="D25:D28"/>
    <mergeCell ref="E25:E26"/>
    <mergeCell ref="E27:E28"/>
    <mergeCell ref="C29:C36"/>
    <mergeCell ref="D29:D32"/>
    <mergeCell ref="E39:E40"/>
    <mergeCell ref="D41:D44"/>
    <mergeCell ref="E41:E42"/>
    <mergeCell ref="E43:E44"/>
    <mergeCell ref="C45:C52"/>
    <mergeCell ref="D45:D48"/>
    <mergeCell ref="E45:E46"/>
    <mergeCell ref="E47:E48"/>
    <mergeCell ref="D49:D52"/>
    <mergeCell ref="C13:C20"/>
    <mergeCell ref="D13:D16"/>
    <mergeCell ref="E13:E14"/>
    <mergeCell ref="E15:E16"/>
    <mergeCell ref="D17:D20"/>
    <mergeCell ref="E17:E18"/>
    <mergeCell ref="E19:E20"/>
    <mergeCell ref="A1:F1"/>
    <mergeCell ref="A5:A36"/>
    <mergeCell ref="B5:B20"/>
    <mergeCell ref="C5:C12"/>
    <mergeCell ref="D5:D8"/>
    <mergeCell ref="E5:E6"/>
    <mergeCell ref="E7:E8"/>
    <mergeCell ref="D9:D12"/>
    <mergeCell ref="E9:E10"/>
    <mergeCell ref="E11:E12"/>
    <mergeCell ref="E29:E30"/>
    <mergeCell ref="E31:E32"/>
    <mergeCell ref="D33:D36"/>
    <mergeCell ref="E33:E34"/>
    <mergeCell ref="E35:E3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2060"/>
  </sheetPr>
  <dimension ref="A1:A27"/>
  <sheetViews>
    <sheetView zoomScale="90" zoomScaleNormal="90" workbookViewId="0">
      <pane ySplit="2" topLeftCell="A3" activePane="bottomLeft" state="frozen"/>
      <selection pane="bottomLeft"/>
    </sheetView>
  </sheetViews>
  <sheetFormatPr defaultRowHeight="14.4" x14ac:dyDescent="0.3"/>
  <cols>
    <col min="1" max="4" width="9.33203125" bestFit="1" customWidth="1"/>
  </cols>
  <sheetData>
    <row r="1" spans="1:1" ht="31.2" x14ac:dyDescent="0.6">
      <c r="A1" s="90" t="s">
        <v>99</v>
      </c>
    </row>
    <row r="2" spans="1:1" x14ac:dyDescent="0.3">
      <c r="A2" s="9" t="s">
        <v>98</v>
      </c>
    </row>
    <row r="3" spans="1:1" x14ac:dyDescent="0.3">
      <c r="A3" s="88">
        <v>0.01</v>
      </c>
    </row>
    <row r="4" spans="1:1" x14ac:dyDescent="0.3">
      <c r="A4" s="88">
        <v>1.4999999999999999E-2</v>
      </c>
    </row>
    <row r="5" spans="1:1" x14ac:dyDescent="0.3">
      <c r="A5" s="88">
        <v>2.1999999999999999E-2</v>
      </c>
    </row>
    <row r="6" spans="1:1" x14ac:dyDescent="0.3">
      <c r="A6" s="88">
        <v>3.3000000000000002E-2</v>
      </c>
    </row>
    <row r="7" spans="1:1" x14ac:dyDescent="0.3">
      <c r="A7" s="88">
        <v>4.7E-2</v>
      </c>
    </row>
    <row r="8" spans="1:1" x14ac:dyDescent="0.3">
      <c r="A8" s="88">
        <v>6.8000000000000005E-2</v>
      </c>
    </row>
    <row r="9" spans="1:1" x14ac:dyDescent="0.3">
      <c r="A9" s="89">
        <v>0.1</v>
      </c>
    </row>
    <row r="10" spans="1:1" x14ac:dyDescent="0.3">
      <c r="A10" s="89">
        <v>0.15</v>
      </c>
    </row>
    <row r="11" spans="1:1" x14ac:dyDescent="0.3">
      <c r="A11" s="89">
        <v>0.22</v>
      </c>
    </row>
    <row r="12" spans="1:1" x14ac:dyDescent="0.3">
      <c r="A12" s="89">
        <v>0.33</v>
      </c>
    </row>
    <row r="13" spans="1:1" x14ac:dyDescent="0.3">
      <c r="A13" s="89">
        <v>0.47</v>
      </c>
    </row>
    <row r="14" spans="1:1" x14ac:dyDescent="0.3">
      <c r="A14" s="89">
        <v>0.68</v>
      </c>
    </row>
    <row r="15" spans="1:1" x14ac:dyDescent="0.3">
      <c r="A15" s="89">
        <v>1</v>
      </c>
    </row>
    <row r="16" spans="1:1" x14ac:dyDescent="0.3">
      <c r="A16" s="89">
        <v>1.5</v>
      </c>
    </row>
    <row r="17" spans="1:1" x14ac:dyDescent="0.3">
      <c r="A17" s="89">
        <v>2.2000000000000002</v>
      </c>
    </row>
    <row r="18" spans="1:1" x14ac:dyDescent="0.3">
      <c r="A18" s="89">
        <v>3.3</v>
      </c>
    </row>
    <row r="19" spans="1:1" x14ac:dyDescent="0.3">
      <c r="A19" s="89">
        <v>4.7</v>
      </c>
    </row>
    <row r="20" spans="1:1" x14ac:dyDescent="0.3">
      <c r="A20" s="10">
        <v>6.8</v>
      </c>
    </row>
    <row r="21" spans="1:1" x14ac:dyDescent="0.3">
      <c r="A21" s="10">
        <v>10</v>
      </c>
    </row>
    <row r="22" spans="1:1" x14ac:dyDescent="0.3">
      <c r="A22" s="10">
        <v>15</v>
      </c>
    </row>
    <row r="23" spans="1:1" x14ac:dyDescent="0.3">
      <c r="A23" s="10">
        <v>22</v>
      </c>
    </row>
    <row r="24" spans="1:1" x14ac:dyDescent="0.3">
      <c r="A24" s="91">
        <v>33</v>
      </c>
    </row>
    <row r="25" spans="1:1" x14ac:dyDescent="0.3">
      <c r="A25" s="92">
        <v>47</v>
      </c>
    </row>
    <row r="26" spans="1:1" x14ac:dyDescent="0.3">
      <c r="A26" s="92">
        <v>68</v>
      </c>
    </row>
    <row r="27" spans="1:1" x14ac:dyDescent="0.3">
      <c r="A27" s="92">
        <v>100</v>
      </c>
    </row>
  </sheetData>
  <sheetProtection password="8553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30</vt:i4>
      </vt:variant>
    </vt:vector>
  </HeadingPairs>
  <TitlesOfParts>
    <vt:vector size="34" baseType="lpstr">
      <vt:lpstr>Calculation Sheet</vt:lpstr>
      <vt:lpstr>Thermal Shutdown Limit Plot</vt:lpstr>
      <vt:lpstr>Res EIA Tables</vt:lpstr>
      <vt:lpstr>Cap Tables</vt:lpstr>
      <vt:lpstr>Cdvdt</vt:lpstr>
      <vt:lpstr>Cdvdt_cal1</vt:lpstr>
      <vt:lpstr>Cdvdt_cal2</vt:lpstr>
      <vt:lpstr>Cout</vt:lpstr>
      <vt:lpstr>Gain_dvdt</vt:lpstr>
      <vt:lpstr>I_dvdt</vt:lpstr>
      <vt:lpstr>Icharge</vt:lpstr>
      <vt:lpstr>Icharge_req</vt:lpstr>
      <vt:lpstr>Ilimit</vt:lpstr>
      <vt:lpstr>Ilimit_final</vt:lpstr>
      <vt:lpstr>Imax</vt:lpstr>
      <vt:lpstr>OVPref</vt:lpstr>
      <vt:lpstr>OVset</vt:lpstr>
      <vt:lpstr>Rdson_125deg</vt:lpstr>
      <vt:lpstr>Rdson_25deg</vt:lpstr>
      <vt:lpstr>Rdson_85deg</vt:lpstr>
      <vt:lpstr>Rilim</vt:lpstr>
      <vt:lpstr>RIN</vt:lpstr>
      <vt:lpstr>Rlimit</vt:lpstr>
      <vt:lpstr>RLstart</vt:lpstr>
      <vt:lpstr>ROVP</vt:lpstr>
      <vt:lpstr>RUVLO</vt:lpstr>
      <vt:lpstr>Ta</vt:lpstr>
      <vt:lpstr>Tdvdt</vt:lpstr>
      <vt:lpstr>Tdvdt_default</vt:lpstr>
      <vt:lpstr>Tstart_req</vt:lpstr>
      <vt:lpstr>UVLOhys</vt:lpstr>
      <vt:lpstr>UVLOref</vt:lpstr>
      <vt:lpstr>UVset</vt:lpstr>
      <vt:lpstr>Vinmax</vt:lpstr>
    </vt:vector>
  </TitlesOfParts>
  <Company>Texas Instruments Incorporated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a0393740</dc:creator>
  <cp:lastModifiedBy>Selvaraj, Karikalan</cp:lastModifiedBy>
  <cp:lastPrinted>2013-06-05T10:58:25Z</cp:lastPrinted>
  <dcterms:created xsi:type="dcterms:W3CDTF">2013-05-30T14:28:05Z</dcterms:created>
  <dcterms:modified xsi:type="dcterms:W3CDTF">2018-07-30T12:25:37Z</dcterms:modified>
</cp:coreProperties>
</file>